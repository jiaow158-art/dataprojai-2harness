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15000571\My Document\WXWork\1688855801420268\Cache\File\2026-08\"/>
    </mc:Choice>
  </mc:AlternateContent>
  <bookViews>
    <workbookView windowWidth="28800" windowHeight="12375" activeTab="3"/>
  </bookViews>
  <sheets>
    <sheet name="说明" sheetId="1" r:id="rId1"/>
    <sheet name="① 指标-Metrics" sheetId="2" r:id="rId2"/>
    <sheet name="② 维度-Dimensions" sheetId="3" r:id="rId3"/>
    <sheet name="③ 渠道编码" sheetId="4" r:id="rId4"/>
    <sheet name="④ 产品分类" sheetId="5" r:id="rId5"/>
    <sheet name="⑤ 组织层级" sheetId="6" r:id="rId6"/>
    <sheet name="⑥ 主数据-物料" sheetId="7" r:id="rId7"/>
    <sheet name="⑦ 主数据-渠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<sst xmlns="http://schemas.openxmlformats.org/spreadsheetml/2006/main" count="659" uniqueCount="434">
  <si>
    <t>业绩域（销售业绩）指标·维度·主数据 — 业务确认表 v2</t>
  </si>
  <si>
    <t>用途</t>
  </si>
  <si>
    <t>汇总业绩域全部指标/维度/产品分类定义 + 物料/渠道主数据权威字段，请业务逐项核对（定义对不对、有没有遗漏、口径要不要改）。</t>
  </si>
  <si>
    <t>数据来源</t>
  </si>
  <si>
    <t>metrics.md 语义层 + 物料主数据 dwimd.dwi_md_data_material_general_t（实测 26.2万行，aiuser 已开通读权限）。</t>
  </si>
  <si>
    <t>如何用</t>
  </si>
  <si>
    <t>每表右侧两列黄色单元格：业务确认(✓/✗/存疑下拉) + 业务补充或修正。无意见选✓即可。</t>
  </si>
  <si>
    <t>工作表</t>
  </si>
  <si>
    <t>①指标 ②维度 ③渠道编码 ④产品分类 ⑤组织层级 ⑥主数据-物料 ⑦主数据-渠道</t>
  </si>
  <si>
    <t>关键原则</t>
  </si>
  <si>
    <t>Mix 表已内嵌常用产品/渠道字段(category_name/系列/规格/__t描述列)→直接用，不硬编码、不必JOIN。Mix未内嵌的(产品等级/高值说明/二级渠道)→JOIN主数据⑥取中文名。</t>
  </si>
  <si>
    <t>已知待确认</t>
  </si>
  <si>
    <t>1) 月销售面积字段 zxsmj（metrics.md 1.1节误写 s_zxsmj）。</t>
  </si>
  <si>
    <t>2) 粗品类8值(抛光砖/大板/中板…)主数据无此列，只有细 category_name(36值)——用细的还是非要粗汇总？</t>
  </si>
  <si>
    <t>3) 💡主数据自带 product_position_name=高值/非高值，能否简化"高值产品"判定？请业务确认。</t>
  </si>
  <si>
    <t>4) ④12类产品分类均为 ct 表预计算列，直接SELECT；判定规则仅供理解，编码→中文见⑥⑦。</t>
  </si>
  <si>
    <t>生成日期</t>
  </si>
  <si>
    <t>2026-08-13 v2</t>
  </si>
  <si>
    <t>序号</t>
  </si>
  <si>
    <t>指标(业务口径)</t>
  </si>
  <si>
    <t>含义</t>
  </si>
  <si>
    <t>Mix表字段</t>
  </si>
  <si>
    <t>业绩表字段</t>
  </si>
  <si>
    <t>目标表字段</t>
  </si>
  <si>
    <t>单位</t>
  </si>
  <si>
    <t>备注/陷阱</t>
  </si>
  <si>
    <t>业务确认</t>
  </si>
  <si>
    <t>业务补充或修正</t>
  </si>
  <si>
    <t>月达成额（含税）</t>
  </si>
  <si>
    <t>日常"业绩"，含税达成额</t>
  </si>
  <si>
    <t>ambperformance</t>
  </si>
  <si>
    <t>month_achievement</t>
  </si>
  <si>
    <t>—</t>
  </si>
  <si>
    <t>元</t>
  </si>
  <si>
    <t>默认指标；两表口径一致</t>
  </si>
  <si>
    <t>✓</t>
  </si>
  <si>
    <t>月不含税净额</t>
  </si>
  <si>
    <t>扣税后销售净额</t>
  </si>
  <si>
    <t>notax_sales_net_amt</t>
  </si>
  <si>
    <t>month_notax</t>
  </si>
  <si>
    <t>月销售面积</t>
  </si>
  <si>
    <t>销售产品面积</t>
  </si>
  <si>
    <t>zxsmj</t>
  </si>
  <si>
    <t>month_sales_area</t>
  </si>
  <si>
    <t>㎡</t>
  </si>
  <si>
    <t>⚠️metrics.md 1.1节误写 s_zxsmj；正确为 zxsmj（三/四/四-A节）</t>
  </si>
  <si>
    <t>月销售数量</t>
  </si>
  <si>
    <t>销售产品数量</t>
  </si>
  <si>
    <t>zxssl</t>
  </si>
  <si>
    <t>件</t>
  </si>
  <si>
    <t>年累计达成额</t>
  </si>
  <si>
    <t>年初至今累计</t>
  </si>
  <si>
    <t>按月 SUM(ambperformance)</t>
  </si>
  <si>
    <t>year_achievement</t>
  </si>
  <si>
    <t>Mix表无year列</t>
  </si>
  <si>
    <t>同比增长 YoY</t>
  </si>
  <si>
    <t>本月 vs 去年同月</t>
  </si>
  <si>
    <t>—（须回业绩表）</t>
  </si>
  <si>
    <t>last_year_month_achievement</t>
  </si>
  <si>
    <t>元/%</t>
  </si>
  <si>
    <t>仅业绩表有</t>
  </si>
  <si>
    <t>环比增长 MoM</t>
  </si>
  <si>
    <t>本月 vs 上月</t>
  </si>
  <si>
    <t>calmonth 自连接/LAG</t>
  </si>
  <si>
    <t>calday 自连接</t>
  </si>
  <si>
    <t>%</t>
  </si>
  <si>
    <t>无专用字段，须自算上月【本次新增】</t>
  </si>
  <si>
    <t>目标销售额</t>
  </si>
  <si>
    <t>下达分解目标</t>
  </si>
  <si>
    <t>target_sales_amt</t>
  </si>
  <si>
    <t>万元</t>
  </si>
  <si>
    <t>⚠️万元须×10000；org_type须过滤</t>
  </si>
  <si>
    <t>预算达成额</t>
  </si>
  <si>
    <t>年初编制预算</t>
  </si>
  <si>
    <t>ambperformance_ys</t>
  </si>
  <si>
    <t>仅Mix表有；与"目标"不同</t>
  </si>
  <si>
    <t>存疑</t>
  </si>
  <si>
    <t>指标改为 预算销售额</t>
  </si>
  <si>
    <t>预测达成额</t>
  </si>
  <si>
    <t>动态调整预测</t>
  </si>
  <si>
    <t>ambperformance_yc</t>
  </si>
  <si>
    <t>仅Mix表有</t>
  </si>
  <si>
    <t>指标改为 预测销售额</t>
  </si>
  <si>
    <t>实际成本</t>
  </si>
  <si>
    <t>销售成本</t>
  </si>
  <si>
    <t>act_cost_sum_amt</t>
  </si>
  <si>
    <t>month_a_cost</t>
  </si>
  <si>
    <t>⚠️两表口径不同(Mix含分摊)~3.7%</t>
  </si>
  <si>
    <t>✗</t>
  </si>
  <si>
    <t>实际成本 取数应为 actual_cost_exclude_logistics剔除物流成本后的实际成本</t>
  </si>
  <si>
    <t>分摊后毛利</t>
  </si>
  <si>
    <t>gross_profit_after_sharing</t>
  </si>
  <si>
    <t>month_a_gross_profit</t>
  </si>
  <si>
    <t>⚠️两表口径不同</t>
  </si>
  <si>
    <t>成交价总额</t>
  </si>
  <si>
    <t>算成交单价用</t>
  </si>
  <si>
    <t>deal_price_total</t>
  </si>
  <si>
    <t>比ambperformance多~5%</t>
  </si>
  <si>
    <t>成交单价</t>
  </si>
  <si>
    <t>成交价/面积</t>
  </si>
  <si>
    <t>deal_price_total/s_zxsmj</t>
  </si>
  <si>
    <t>元/㎡</t>
  </si>
  <si>
    <t>用s_zxsmj算单价</t>
  </si>
  <si>
    <t>业务概念(维度)</t>
  </si>
  <si>
    <t>说明</t>
  </si>
  <si>
    <t>值数/示例</t>
  </si>
  <si>
    <t>备注</t>
  </si>
  <si>
    <t>组织-事业部(node2)</t>
  </si>
  <si>
    <t>最高事业部层级</t>
  </si>
  <si>
    <t>node_desc2(内置)</t>
  </si>
  <si>
    <t>JOIN dm_rpt_sales_group_t</t>
  </si>
  <si>
    <t>sales_center</t>
  </si>
  <si>
    <t>5固定枚举</t>
  </si>
  <si>
    <t>⚠️等值匹配禁LIKE</t>
  </si>
  <si>
    <t>组织-全层级(node1~9)</t>
  </si>
  <si>
    <t>10级组织树</t>
  </si>
  <si>
    <t>node_desc1~9(内置)</t>
  </si>
  <si>
    <t>org_code</t>
  </si>
  <si>
    <t>sales_center/sales_dep</t>
  </si>
  <si>
    <t>10级</t>
  </si>
  <si>
    <t>业绩表JOIN键 org_code=node_name10</t>
  </si>
  <si>
    <t>渠道-整合渠道1</t>
  </si>
  <si>
    <t>零售/整装/工程</t>
  </si>
  <si>
    <t>integrate_channel+__t(内嵌)</t>
  </si>
  <si>
    <t>integrate_channel_code</t>
  </si>
  <si>
    <t>integrate_channel</t>
  </si>
  <si>
    <t>3值</t>
  </si>
  <si>
    <t>中文取Mix内嵌__t列；编码见③</t>
  </si>
  <si>
    <t>渠道-整合渠道2</t>
  </si>
  <si>
    <t>产品导向</t>
  </si>
  <si>
    <t>integrate_channel2+__t(内嵌)</t>
  </si>
  <si>
    <t>7值</t>
  </si>
  <si>
    <t>中文取Mix内嵌__t列</t>
  </si>
  <si>
    <t>渠道-分销渠道</t>
  </si>
  <si>
    <t>SAP原始</t>
  </si>
  <si>
    <t>distr_chan+__t(内嵌)</t>
  </si>
  <si>
    <t>客户(编码+名称)</t>
  </si>
  <si>
    <t>客户</t>
  </si>
  <si>
    <t>customer+cust_name(内嵌)</t>
  </si>
  <si>
    <t>customer(仅编码)</t>
  </si>
  <si>
    <t>Mix已内嵌客户名</t>
  </si>
  <si>
    <t>客户分组</t>
  </si>
  <si>
    <t>cust_group_*(内嵌)</t>
  </si>
  <si>
    <t>仅Mix表</t>
  </si>
  <si>
    <t>客户城市线级</t>
  </si>
  <si>
    <t>城市线级</t>
  </si>
  <si>
    <t>cust_mkt_segmentation_name</t>
  </si>
  <si>
    <t>45%NULL</t>
  </si>
  <si>
    <t>⚠️叫市场细分实为城市线级</t>
  </si>
  <si>
    <t>物料(编码+名称)</t>
  </si>
  <si>
    <t>SKU</t>
  </si>
  <si>
    <t>material_num+material_name(内嵌)</t>
  </si>
  <si>
    <t>仅Mix表；主数据见⑥</t>
  </si>
  <si>
    <t>产品-物料组(大类)</t>
  </si>
  <si>
    <t>瓷砖/卫浴/原材料</t>
  </si>
  <si>
    <t>matl_group_name(内嵌)</t>
  </si>
  <si>
    <t>9值</t>
  </si>
  <si>
    <t>主数据matl_group_name</t>
  </si>
  <si>
    <t>产品-外部物料组</t>
  </si>
  <si>
    <t>品牌归属</t>
  </si>
  <si>
    <t>external_matl_group_name(内嵌)</t>
  </si>
  <si>
    <t>11值</t>
  </si>
  <si>
    <t>东鹏/梦之家/DPI CASA</t>
  </si>
  <si>
    <t>产品-品类</t>
  </si>
  <si>
    <t>产品类型</t>
  </si>
  <si>
    <t>category_name(内嵌)</t>
  </si>
  <si>
    <t>36值(瓷砖下)</t>
  </si>
  <si>
    <t>主数据category_name；岩板/抛釉砖/仿古砖…</t>
  </si>
  <si>
    <t>产品-产品层次2</t>
  </si>
  <si>
    <t>标准分类</t>
  </si>
  <si>
    <t>product_level2_name(内嵌)</t>
  </si>
  <si>
    <t>~22值</t>
  </si>
  <si>
    <t>⚠️level1更细level2更粗</t>
  </si>
  <si>
    <t>产品-产品系列(业务"系列")</t>
  </si>
  <si>
    <t>花色/风格系列</t>
  </si>
  <si>
    <t>product_brand_name(内嵌)</t>
  </si>
  <si>
    <t>43值</t>
  </si>
  <si>
    <t>主数据product_brand_name；净奢石/微韵石/世界印象…</t>
  </si>
  <si>
    <t>产品-规格编号</t>
  </si>
  <si>
    <t>规格编号</t>
  </si>
  <si>
    <t>product_series_name(内嵌)</t>
  </si>
  <si>
    <t>12值</t>
  </si>
  <si>
    <t>⚠️非业务系列；918/715/840…</t>
  </si>
  <si>
    <t>产品-规格/尺寸</t>
  </si>
  <si>
    <t>物理尺寸</t>
  </si>
  <si>
    <t>dimension(内嵌)</t>
  </si>
  <si>
    <t>115值</t>
  </si>
  <si>
    <t>主数据dimension；1500X750…</t>
  </si>
  <si>
    <t>产品-产品等级</t>
  </si>
  <si>
    <t>优等/一级/合格</t>
  </si>
  <si>
    <t>Mix未内嵌→JOIN主数据</t>
  </si>
  <si>
    <t>ct表已用于判定</t>
  </si>
  <si>
    <t>主数据reserved_field6_name；高值/旗舰规则用</t>
  </si>
  <si>
    <t>产品-高值说明</t>
  </si>
  <si>
    <t>高值/非高值</t>
  </si>
  <si>
    <t>ct表已用于判定?</t>
  </si>
  <si>
    <t>2值</t>
  </si>
  <si>
    <t>主数据product_position_name；💡或可简化高值产品规则</t>
  </si>
  <si>
    <t>产品-二级渠道</t>
  </si>
  <si>
    <t>IW/ART+/零售门店</t>
  </si>
  <si>
    <t>多值</t>
  </si>
  <si>
    <t>主数据tow_lev_channel_name；IW规则用</t>
  </si>
  <si>
    <t>区域(省份)</t>
  </si>
  <si>
    <t>区域</t>
  </si>
  <si>
    <t>region_province_name(内嵌)</t>
  </si>
  <si>
    <t>sales_region</t>
  </si>
  <si>
    <t>能否做到省按照客户/工程WBS区分？</t>
  </si>
  <si>
    <t>销售中心/销部</t>
  </si>
  <si>
    <t>销中心/销部</t>
  </si>
  <si>
    <t>仅目标表</t>
  </si>
  <si>
    <t>日期</t>
  </si>
  <si>
    <t>时间</t>
  </si>
  <si>
    <t>calmonth(YYYY-MM)</t>
  </si>
  <si>
    <t>calday(YYYYMMDD)</t>
  </si>
  <si>
    <t>stat_year+stat_month</t>
  </si>
  <si>
    <t>⚠️三表格式不同</t>
  </si>
  <si>
    <t>渠道体系</t>
  </si>
  <si>
    <t>编码</t>
  </si>
  <si>
    <t>整合渠道1 integrate_channel</t>
  </si>
  <si>
    <t>GD01</t>
  </si>
  <si>
    <t>零售渠道</t>
  </si>
  <si>
    <t>整合渠道1</t>
  </si>
  <si>
    <t>GD02</t>
  </si>
  <si>
    <t>整装头部</t>
  </si>
  <si>
    <t>GD03</t>
  </si>
  <si>
    <t>工程渠道</t>
  </si>
  <si>
    <t>整合渠道2 integrate_channel2</t>
  </si>
  <si>
    <t>GD04</t>
  </si>
  <si>
    <t>特惠品</t>
  </si>
  <si>
    <t>整合渠道2</t>
  </si>
  <si>
    <t>GG01</t>
  </si>
  <si>
    <t>N品类产品</t>
  </si>
  <si>
    <t>GG02</t>
  </si>
  <si>
    <t>瓷砖产品</t>
  </si>
  <si>
    <t>GG03</t>
  </si>
  <si>
    <t>大包专供</t>
  </si>
  <si>
    <t>GG05</t>
  </si>
  <si>
    <t>非设计师产品</t>
  </si>
  <si>
    <t>GG06</t>
  </si>
  <si>
    <t>零售产品</t>
  </si>
  <si>
    <t>GG08</t>
  </si>
  <si>
    <t>设计师专供</t>
  </si>
  <si>
    <t>分销渠道 distr_chan</t>
  </si>
  <si>
    <t>01</t>
  </si>
  <si>
    <t>经销</t>
  </si>
  <si>
    <t>分销渠道</t>
  </si>
  <si>
    <t>02</t>
  </si>
  <si>
    <t>零售</t>
  </si>
  <si>
    <t>06</t>
  </si>
  <si>
    <t>工程</t>
  </si>
  <si>
    <t>07</t>
  </si>
  <si>
    <t>电商</t>
  </si>
  <si>
    <t>08</t>
  </si>
  <si>
    <t>家装</t>
  </si>
  <si>
    <t>09</t>
  </si>
  <si>
    <t>设计师</t>
  </si>
  <si>
    <t>10</t>
  </si>
  <si>
    <t>乡镇或流通</t>
  </si>
  <si>
    <t>说明：以下12类均为 ct_sales_performance_t 预计算列，agent 直接 SELECT 即可；判定规则仅供理解列含义，规则中的编码→中文见 ⑥主数据-物料 / ⑦主数据-渠道。</t>
  </si>
  <si>
    <t>分类名称</t>
  </si>
  <si>
    <t>字段前缀</t>
  </si>
  <si>
    <t>指标类型</t>
  </si>
  <si>
    <t>判定规则简述</t>
  </si>
  <si>
    <t>规则涉及的主数据字段(中文查主数据)</t>
  </si>
  <si>
    <t>高值产品</t>
  </si>
  <si>
    <t>high_value_*</t>
  </si>
  <si>
    <t>业绩金额</t>
  </si>
  <si>
    <t>工程GD03 + (规格918/超大板 或 品牌=A18) + 瓷砖 + 优等品</t>
  </si>
  <si>
    <t>product_series_name/product_brand_name/prod_property_name/reserved_field6_name；💡或可直接用 product_position_name=高值？</t>
  </si>
  <si>
    <t>不能直接读取主数据表高值说明字段（手工维护存在漏维护情况）</t>
  </si>
  <si>
    <t>世界印象</t>
  </si>
  <si>
    <t>word_impression_*</t>
  </si>
  <si>
    <t>整合渠道2 = GG08（设计师专供）</t>
  </si>
  <si>
    <t>渠道主数据 integrate_channel2</t>
  </si>
  <si>
    <t>套餐/大包</t>
  </si>
  <si>
    <t>package_*</t>
  </si>
  <si>
    <t>整合渠道2 = GG03（大包专供）</t>
  </si>
  <si>
    <t>1+N跨事业部</t>
  </si>
  <si>
    <t>n1_*</t>
  </si>
  <si>
    <t>工程GD03 + 卫浴/新材/绿家/辅材，排除内部交易U</t>
  </si>
  <si>
    <t>prod_property_name</t>
  </si>
  <si>
    <t>大规格</t>
  </si>
  <si>
    <t>large_spec_*</t>
  </si>
  <si>
    <t>销售面积</t>
  </si>
  <si>
    <t>瓷砖 + (规格918/超大板 或 品牌=A16)，不限渠道/等级</t>
  </si>
  <si>
    <t>product_series_name/product_brand_name/prod_property_name</t>
  </si>
  <si>
    <t>GD04_*</t>
  </si>
  <si>
    <t>整合渠道2 = GD04</t>
  </si>
  <si>
    <t>工程差价积分</t>
  </si>
  <si>
    <t>engineering_adjust_*</t>
  </si>
  <si>
    <t>业绩调整额</t>
  </si>
  <si>
    <t>佣金组 commission_group=02，取 ABS(zsyjf)</t>
  </si>
  <si>
    <t>佣金组（非物料主数据）</t>
  </si>
  <si>
    <t>共享仓</t>
  </si>
  <si>
    <t>share_warehouse_*</t>
  </si>
  <si>
    <t>业务域 bus_area=G000，取 z_yjsgtzz</t>
  </si>
  <si>
    <t>业务域（非物料主数据）</t>
  </si>
  <si>
    <t>其他调整</t>
  </si>
  <si>
    <t>other_adjust_*</t>
  </si>
  <si>
    <t>bus_area NOT IN (G000,#)，取 z_yjsgtzz</t>
  </si>
  <si>
    <t>业务域</t>
  </si>
  <si>
    <t>旗舰产品</t>
  </si>
  <si>
    <t>qjcp_*</t>
  </si>
  <si>
    <t>零售GD01 + 品牌 A5/A26/A35(净奢石/微韵石/质臻) + 优等品，排除特惠品</t>
  </si>
  <si>
    <t>product_brand_name/reserved_field6_name</t>
  </si>
  <si>
    <t>IW产品</t>
  </si>
  <si>
    <t>iw_*</t>
  </si>
  <si>
    <t>二级渠道 tow_lev_channel_code IN (A003=IW, A004=ART+)</t>
  </si>
  <si>
    <t>tow_lev_channel_name</t>
  </si>
  <si>
    <t>辅材</t>
  </si>
  <si>
    <t>fc_*</t>
  </si>
  <si>
    <t>零售GD01 + 产品所有权 C0003辅材/C0005木地板</t>
  </si>
  <si>
    <t>层级</t>
  </si>
  <si>
    <t>字段</t>
  </si>
  <si>
    <t>示例/枚举</t>
  </si>
  <si>
    <t>第1级</t>
  </si>
  <si>
    <t>node_desc1</t>
  </si>
  <si>
    <t>集团</t>
  </si>
  <si>
    <t>第2级 事业部</t>
  </si>
  <si>
    <t>node_desc2</t>
  </si>
  <si>
    <t>最高事业部（5固定枚举）</t>
  </si>
  <si>
    <t>瓷砖事业部/卫浴事业部/国际营销中心/丽适岩板/公司层面</t>
  </si>
  <si>
    <t>第3级 子部门</t>
  </si>
  <si>
    <t>node_desc3</t>
  </si>
  <si>
    <t>事业部下子部门</t>
  </si>
  <si>
    <t>营销一部/营销二部/卫浴营销部 等</t>
  </si>
  <si>
    <t>第4~9级</t>
  </si>
  <si>
    <t>node_desc4~9</t>
  </si>
  <si>
    <t>区域/销售中心/销售组</t>
  </si>
  <si>
    <t>见跨域 org-hierarchy.md</t>
  </si>
  <si>
    <t>权威表：dwimd.dwi_md_data_material_general_t（26.2万行，aiuser 已可读）。Mix 表的产品字段(category_name/系列/规格等)即从此 JOIN 而来。Mix 未内嵌的字段(产品等级/高值说明/二级渠道)，agent 可 JOIN 本表取 *_name 中文。</t>
  </si>
  <si>
    <t>中文名/业务含义</t>
  </si>
  <si>
    <t>取值示例/说明</t>
  </si>
  <si>
    <t>material_num / material_name</t>
  </si>
  <si>
    <t>物料编码 / 物料名称</t>
  </si>
  <si>
    <t>SKU主键，JOIN键（Mix.material_num ↔ 主数据.material_num 已验证对齐）</t>
  </si>
  <si>
    <t>matl_group_code / matl_group_name</t>
  </si>
  <si>
    <t>物料组（大类）</t>
  </si>
  <si>
    <t>原材料 / 瓷砖 / 卫浴 / 洁具 / 整装家居-外购 / 涂料 …</t>
  </si>
  <si>
    <t>matl_type_code / matl_group_name</t>
  </si>
  <si>
    <t>物料类型</t>
  </si>
  <si>
    <t>product_group_code / product_group_name</t>
  </si>
  <si>
    <t>产品组</t>
  </si>
  <si>
    <t>product_classify_code / product_classify_name</t>
  </si>
  <si>
    <t>产品分级</t>
  </si>
  <si>
    <t>external_matl_group_code / external_matl_group_name</t>
  </si>
  <si>
    <t>外部物料组（品牌归属）</t>
  </si>
  <si>
    <t>东鹏 / 梦之家 / DPI CASA / ART+ …</t>
  </si>
  <si>
    <t>product_level1~6_code / _name</t>
  </si>
  <si>
    <t>产品层次 1~6</t>
  </si>
  <si>
    <t>6级产品层次树</t>
  </si>
  <si>
    <t>product_brand_code / product_brand_name</t>
  </si>
  <si>
    <t>产品系列（物料品牌）</t>
  </si>
  <si>
    <t>净奢石 / 微韵石 / 世界印象 / 景观砖 / ART+ …  ← 业务"系列"</t>
  </si>
  <si>
    <t>product_series_name</t>
  </si>
  <si>
    <t>产品规格（规格编号）</t>
  </si>
  <si>
    <t>918 / 715 / 840 / 612 / 超大板 …  ← ⚠️非业务系列</t>
  </si>
  <si>
    <t>prod_property / prod_property_name</t>
  </si>
  <si>
    <t>产品所有权</t>
  </si>
  <si>
    <t>瓷砖产品 / 卫浴产品 / 整装产品 / 绿家产品 / 新材产品 / DPI产品 …</t>
  </si>
  <si>
    <t>category / category_name</t>
  </si>
  <si>
    <t>品类</t>
  </si>
  <si>
    <t>抛釉砖 / 仿古砖 / 瓷片 / 玻化砖 / 岩板 …（瓷砖下36个细值）</t>
  </si>
  <si>
    <t>reserved_field_6 / reserved_field6_name</t>
  </si>
  <si>
    <t>产品等级</t>
  </si>
  <si>
    <t>优等品 / 一级品 / 合格品</t>
  </si>
  <si>
    <t>product_position_code / product_position_name</t>
  </si>
  <si>
    <t>高值说明</t>
  </si>
  <si>
    <t>高值 / 非高值  ← 💡主数据自带高值标志，或可简化高值产品规则</t>
  </si>
  <si>
    <t>tow_lev_channel_code / tow_lev_channel_name</t>
  </si>
  <si>
    <t>二级渠道</t>
  </si>
  <si>
    <t>IW / ART+ / 零售门店 / 地产 / 商业连锁 / 企业总部 / 医疗 …</t>
  </si>
  <si>
    <t>def_prod_channel</t>
  </si>
  <si>
    <t>四大渠道</t>
  </si>
  <si>
    <t>bath_category_name</t>
  </si>
  <si>
    <t>卫浴品类</t>
  </si>
  <si>
    <t>卫浴专用</t>
  </si>
  <si>
    <t>product_position1 / product_position_name1</t>
  </si>
  <si>
    <t>产品定位</t>
  </si>
  <si>
    <t>product_specify_code / product_specify_name</t>
  </si>
  <si>
    <t>产品规格</t>
  </si>
  <si>
    <t>dimension</t>
  </si>
  <si>
    <t>大小量纲（物理尺寸）</t>
  </si>
  <si>
    <t>1500X750 等</t>
  </si>
  <si>
    <t>height2_code / height2_name</t>
  </si>
  <si>
    <t>厚度</t>
  </si>
  <si>
    <t>color_code / color_name</t>
  </si>
  <si>
    <t>色系</t>
  </si>
  <si>
    <t>texture_1 / texture_1_name</t>
  </si>
  <si>
    <t>产品材质</t>
  </si>
  <si>
    <t>texture_2 / texture_2_name</t>
  </si>
  <si>
    <t>纹理</t>
  </si>
  <si>
    <t>faces_code / faces_name</t>
  </si>
  <si>
    <t>面相</t>
  </si>
  <si>
    <t>new_product_code / new_product_name</t>
  </si>
  <si>
    <t>工艺新品</t>
  </si>
  <si>
    <t>reserved_field_1 / reserved_field1_name</t>
  </si>
  <si>
    <t>产品渠道</t>
  </si>
  <si>
    <t>reserved_field_2 / reserved_field2_name</t>
  </si>
  <si>
    <t>库存类型</t>
  </si>
  <si>
    <t>reserved_field_3 / reserved_field3_name</t>
  </si>
  <si>
    <t>盈利分析</t>
  </si>
  <si>
    <t>reserved_field_4 / reserved_field4_name</t>
  </si>
  <si>
    <t>清库存标识</t>
  </si>
  <si>
    <t>reserved_field_5 / reserved_field5_name</t>
  </si>
  <si>
    <t>市场新品</t>
  </si>
  <si>
    <t>reserved_field_7 / reserved_field7_name</t>
  </si>
  <si>
    <t>产品胚体 / 坯体工艺</t>
  </si>
  <si>
    <t>reserved_field_8 / reserved_field8_name</t>
  </si>
  <si>
    <t>产品功能</t>
  </si>
  <si>
    <t>secondary_crafts_code / secondary_crafts_name</t>
  </si>
  <si>
    <t>次工艺</t>
  </si>
  <si>
    <t>auxiliary_processes_code / auxiliary_processes_name</t>
  </si>
  <si>
    <t>辅工艺</t>
  </si>
  <si>
    <t>embryo_whiteness_code / embryo_whiteness_name</t>
  </si>
  <si>
    <t>坯体白度</t>
  </si>
  <si>
    <t>color_temp / lightness / light_sense</t>
  </si>
  <si>
    <t>色温 / 明度 / 光感</t>
  </si>
  <si>
    <t>视觉属性</t>
  </si>
  <si>
    <t>dermat_pattern / touch_sense</t>
  </si>
  <si>
    <t>纹样 / 触感</t>
  </si>
  <si>
    <t>视觉/触感属性</t>
  </si>
  <si>
    <t>cstm_main_code / cstm_main_name</t>
  </si>
  <si>
    <t>定制主体</t>
  </si>
  <si>
    <t>表/来源</t>
  </si>
  <si>
    <t>关键字段</t>
  </si>
  <si>
    <t>upload_business_analysis_channel_t</t>
  </si>
  <si>
    <t>渠道权威映射表</t>
  </si>
  <si>
    <t>channel_type + channel_code → channel_name</t>
  </si>
  <si>
    <t>三套渠道(整合1/整合2/分销)编码→中文名的权威来源；编码明细见 ③</t>
  </si>
  <si>
    <t>Mix 表 integrate_channel__t / integrate_channel2__t / distr_chan__t</t>
  </si>
  <si>
    <t>Mix 内嵌渠道描述</t>
  </si>
  <si>
    <t>直接 SELECT</t>
  </si>
  <si>
    <t>整合渠道1/2/分销渠道的中文名已内嵌 Mix，常用查询无需 JOIN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</si>
</sst>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1F7A1F"/>
      <name val="微软雅黑"/>
      <charset val="134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C00000"/>
      <name val="微软雅黑"/>
      <charset val="134"/>
    </font>
    <font>
      <b/>
      <sz val="16"/>
      <color rgb="FF1F4E7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8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3"/>
  <sheetViews>
    <sheetView showGridLines="0" workbookViewId="0">
      <selection activeCell="C36" sqref="C36"/>
    </sheetView>
  </sheetViews>
  <sheetFormatPr defaultColWidth="9" defaultRowHeight="13.5" outlineLevelCol="2"/>
  <cols>
    <col min="1" max="1" width="3" customWidth="1"/>
    <col min="2" max="2" width="16" customWidth="1"/>
    <col min="3" max="3" width="100" customWidth="1"/>
  </cols>
  <sheetData>
    <row r="2" ht="22.5" spans="2:3">
      <c r="B2" s="16" t="s">
        <v>0</v>
      </c>
    </row>
    <row r="4" ht="16.5" spans="2:3">
      <c r="B4" s="17" t="s">
        <v>1</v>
      </c>
      <c r="C4" s="18" t="s">
        <v>2</v>
      </c>
    </row>
    <row r="5" ht="16.5" spans="2:3">
      <c r="B5" s="17" t="s">
        <v>3</v>
      </c>
      <c r="C5" s="18" t="s">
        <v>4</v>
      </c>
    </row>
    <row r="6" ht="16.5" spans="2:3">
      <c r="B6" s="17" t="s">
        <v>5</v>
      </c>
      <c r="C6" s="18" t="s">
        <v>6</v>
      </c>
    </row>
    <row r="7" ht="16.5" spans="2:3">
      <c r="B7" s="17" t="s">
        <v>7</v>
      </c>
      <c r="C7" s="18" t="s">
        <v>8</v>
      </c>
    </row>
    <row r="8" ht="33" spans="2:3">
      <c r="B8" s="17" t="s">
        <v>9</v>
      </c>
      <c r="C8" s="18" t="s">
        <v>10</v>
      </c>
    </row>
    <row r="9" ht="16.5" spans="2:3">
      <c r="B9" s="17" t="s">
        <v>11</v>
      </c>
      <c r="C9" s="19" t="s">
        <v>12</v>
      </c>
    </row>
    <row r="10" ht="16.5" spans="2:3">
      <c r="B10" s="17"/>
      <c r="C10" s="19" t="s">
        <v>13</v>
      </c>
    </row>
    <row r="11" ht="16.5" spans="2:3">
      <c r="B11" s="17"/>
      <c r="C11" s="19" t="s">
        <v>14</v>
      </c>
    </row>
    <row r="12" ht="16.5" spans="2:3">
      <c r="B12" s="17"/>
      <c r="C12" s="18" t="s">
        <v>15</v>
      </c>
    </row>
    <row r="13" ht="16.5" spans="2:3">
      <c r="B13" s="17" t="s">
        <v>16</v>
      </c>
      <c r="C13" s="18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ySplit="1" topLeftCell="A2" activePane="bottomLeft" state="frozen"/>
      <selection/>
      <selection pane="bottomLeft" activeCell="H26" sqref="H26"/>
    </sheetView>
  </sheetViews>
  <sheetFormatPr defaultColWidth="9" defaultRowHeight="16.5"/>
  <cols>
    <col min="1" max="1" width="5" style="11" customWidth="1"/>
    <col min="2" max="2" width="18" style="11" customWidth="1"/>
    <col min="3" max="3" width="28" style="11" customWidth="1"/>
    <col min="4" max="5" width="22" style="11" customWidth="1"/>
    <col min="6" max="6" width="16" style="11" customWidth="1"/>
    <col min="7" max="7" width="8" style="11" customWidth="1"/>
    <col min="8" max="8" width="40" style="11" customWidth="1"/>
    <col min="9" max="9" width="10" style="11" customWidth="1"/>
    <col min="10" max="10" width="26" style="11" customWidth="1"/>
    <col min="11" max="16384" width="9" style="11"/>
  </cols>
  <sheetData>
    <row r="1" spans="1:10">
      <c r="A1" s="12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  <c r="J1" s="12" t="s">
        <v>27</v>
      </c>
    </row>
    <row r="2" spans="1:10">
      <c r="A2" s="7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7" t="s">
        <v>33</v>
      </c>
      <c r="H2" s="13" t="s">
        <v>34</v>
      </c>
      <c r="I2" s="8" t="s">
        <v>35</v>
      </c>
    </row>
    <row r="3" spans="1:10">
      <c r="A3" s="5">
        <v>2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32</v>
      </c>
      <c r="G3" s="5" t="s">
        <v>33</v>
      </c>
      <c r="H3" s="14"/>
      <c r="I3" s="6" t="s">
        <v>35</v>
      </c>
    </row>
    <row r="4" ht="33" spans="1:10">
      <c r="A4" s="7">
        <v>3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32</v>
      </c>
      <c r="G4" s="7" t="s">
        <v>44</v>
      </c>
      <c r="H4" s="13" t="s">
        <v>45</v>
      </c>
      <c r="I4" s="8" t="s">
        <v>35</v>
      </c>
    </row>
    <row r="5" spans="1:10">
      <c r="A5" s="5">
        <v>4</v>
      </c>
      <c r="B5" s="3" t="s">
        <v>46</v>
      </c>
      <c r="C5" s="3" t="s">
        <v>47</v>
      </c>
      <c r="D5" s="3" t="s">
        <v>48</v>
      </c>
      <c r="E5" s="3" t="s">
        <v>32</v>
      </c>
      <c r="F5" s="3" t="s">
        <v>32</v>
      </c>
      <c r="G5" s="5" t="s">
        <v>49</v>
      </c>
      <c r="H5" s="14"/>
      <c r="I5" s="6" t="s">
        <v>35</v>
      </c>
    </row>
    <row r="6" ht="33" spans="1:10">
      <c r="A6" s="7">
        <v>5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32</v>
      </c>
      <c r="G6" s="7" t="s">
        <v>33</v>
      </c>
      <c r="H6" s="13" t="s">
        <v>54</v>
      </c>
      <c r="I6" s="8" t="s">
        <v>35</v>
      </c>
    </row>
    <row r="7" ht="33" spans="1:10">
      <c r="A7" s="5">
        <v>6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32</v>
      </c>
      <c r="G7" s="5" t="s">
        <v>59</v>
      </c>
      <c r="H7" s="14" t="s">
        <v>60</v>
      </c>
      <c r="I7" s="6" t="s">
        <v>35</v>
      </c>
    </row>
    <row r="8" spans="1:10">
      <c r="A8" s="7">
        <v>7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32</v>
      </c>
      <c r="G8" s="7" t="s">
        <v>65</v>
      </c>
      <c r="H8" s="13" t="s">
        <v>66</v>
      </c>
      <c r="I8" s="8" t="s">
        <v>35</v>
      </c>
    </row>
    <row r="9" spans="1:10">
      <c r="A9" s="5">
        <v>8</v>
      </c>
      <c r="B9" s="3" t="s">
        <v>67</v>
      </c>
      <c r="C9" s="3" t="s">
        <v>68</v>
      </c>
      <c r="D9" s="3" t="s">
        <v>32</v>
      </c>
      <c r="E9" s="3" t="s">
        <v>32</v>
      </c>
      <c r="F9" s="3" t="s">
        <v>69</v>
      </c>
      <c r="G9" s="5" t="s">
        <v>70</v>
      </c>
      <c r="H9" s="14" t="s">
        <v>71</v>
      </c>
      <c r="I9" s="6" t="s">
        <v>35</v>
      </c>
    </row>
    <row r="10" spans="1:10">
      <c r="A10" s="7">
        <v>9</v>
      </c>
      <c r="B10" s="2" t="s">
        <v>72</v>
      </c>
      <c r="C10" s="2" t="s">
        <v>73</v>
      </c>
      <c r="D10" s="2" t="s">
        <v>74</v>
      </c>
      <c r="E10" s="2" t="s">
        <v>32</v>
      </c>
      <c r="F10" s="2" t="s">
        <v>32</v>
      </c>
      <c r="G10" s="7" t="s">
        <v>33</v>
      </c>
      <c r="H10" s="13" t="s">
        <v>75</v>
      </c>
      <c r="I10" s="8" t="s">
        <v>76</v>
      </c>
      <c r="J10" s="8" t="s">
        <v>77</v>
      </c>
    </row>
    <row r="11" spans="1:10">
      <c r="A11" s="5">
        <v>10</v>
      </c>
      <c r="B11" s="3" t="s">
        <v>78</v>
      </c>
      <c r="C11" s="3" t="s">
        <v>79</v>
      </c>
      <c r="D11" s="3" t="s">
        <v>80</v>
      </c>
      <c r="E11" s="3" t="s">
        <v>32</v>
      </c>
      <c r="F11" s="3" t="s">
        <v>32</v>
      </c>
      <c r="G11" s="5" t="s">
        <v>33</v>
      </c>
      <c r="H11" s="14" t="s">
        <v>81</v>
      </c>
      <c r="I11" s="15" t="s">
        <v>76</v>
      </c>
      <c r="J11" s="11" t="s">
        <v>82</v>
      </c>
    </row>
    <row r="12" ht="49.5" spans="1:10">
      <c r="A12" s="7">
        <v>11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32</v>
      </c>
      <c r="G12" s="7" t="s">
        <v>33</v>
      </c>
      <c r="H12" s="13" t="s">
        <v>87</v>
      </c>
      <c r="I12" s="15" t="s">
        <v>88</v>
      </c>
      <c r="J12" s="15" t="s">
        <v>89</v>
      </c>
    </row>
    <row r="13" spans="1:10">
      <c r="A13" s="5">
        <v>12</v>
      </c>
      <c r="B13" s="3" t="s">
        <v>90</v>
      </c>
      <c r="C13" s="3" t="s">
        <v>90</v>
      </c>
      <c r="D13" s="3" t="s">
        <v>91</v>
      </c>
      <c r="E13" s="3" t="s">
        <v>92</v>
      </c>
      <c r="F13" s="3" t="s">
        <v>32</v>
      </c>
      <c r="G13" s="5" t="s">
        <v>33</v>
      </c>
      <c r="H13" s="14" t="s">
        <v>93</v>
      </c>
      <c r="I13" s="11" t="s">
        <v>35</v>
      </c>
    </row>
    <row r="14" spans="1:10">
      <c r="A14" s="7">
        <v>13</v>
      </c>
      <c r="B14" s="2" t="s">
        <v>94</v>
      </c>
      <c r="C14" s="2" t="s">
        <v>95</v>
      </c>
      <c r="D14" s="2" t="s">
        <v>96</v>
      </c>
      <c r="E14" s="2" t="s">
        <v>32</v>
      </c>
      <c r="F14" s="2" t="s">
        <v>32</v>
      </c>
      <c r="G14" s="7" t="s">
        <v>33</v>
      </c>
      <c r="H14" s="13" t="s">
        <v>97</v>
      </c>
      <c r="I14" s="11" t="s">
        <v>35</v>
      </c>
    </row>
    <row r="15" spans="1:10">
      <c r="A15" s="5">
        <v>14</v>
      </c>
      <c r="B15" s="3" t="s">
        <v>98</v>
      </c>
      <c r="C15" s="3" t="s">
        <v>99</v>
      </c>
      <c r="D15" s="3" t="s">
        <v>100</v>
      </c>
      <c r="E15" s="3" t="s">
        <v>32</v>
      </c>
      <c r="F15" s="3" t="s">
        <v>32</v>
      </c>
      <c r="G15" s="5" t="s">
        <v>101</v>
      </c>
      <c r="H15" s="14" t="s">
        <v>102</v>
      </c>
      <c r="I15" s="15" t="s">
        <v>35</v>
      </c>
    </row>
  </sheetData>
  <dataValidations count="1">
    <dataValidation type="list" allowBlank="1" sqref="I2:I15">
      <formula1>"✓,✗,存疑"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pane ySplit="1" topLeftCell="A2" activePane="bottomLeft" state="frozen"/>
      <selection/>
      <selection pane="bottomLeft" activeCell="C21" sqref="C21"/>
    </sheetView>
  </sheetViews>
  <sheetFormatPr defaultColWidth="9" defaultRowHeight="16.5"/>
  <cols>
    <col min="1" max="1" width="22" style="11" customWidth="1"/>
    <col min="2" max="2" width="18" style="11" customWidth="1"/>
    <col min="3" max="3" width="24" style="11" customWidth="1"/>
    <col min="4" max="4" width="20" style="11" customWidth="1"/>
    <col min="5" max="6" width="16" style="11" customWidth="1"/>
    <col min="7" max="7" width="42" style="11" customWidth="1"/>
    <col min="8" max="8" width="10" style="11" customWidth="1"/>
    <col min="9" max="9" width="26" style="11" customWidth="1"/>
    <col min="10" max="16384" width="9" style="11"/>
  </cols>
  <sheetData>
    <row r="1" spans="1:9">
      <c r="A1" s="12" t="s">
        <v>103</v>
      </c>
      <c r="B1" s="12" t="s">
        <v>104</v>
      </c>
      <c r="C1" s="12" t="s">
        <v>21</v>
      </c>
      <c r="D1" s="12" t="s">
        <v>22</v>
      </c>
      <c r="E1" s="12" t="s">
        <v>23</v>
      </c>
      <c r="F1" s="12" t="s">
        <v>105</v>
      </c>
      <c r="G1" s="12" t="s">
        <v>106</v>
      </c>
      <c r="H1" s="12" t="s">
        <v>26</v>
      </c>
      <c r="I1" s="12" t="s">
        <v>27</v>
      </c>
    </row>
    <row r="2" ht="33" spans="1:9">
      <c r="A2" s="2" t="s">
        <v>107</v>
      </c>
      <c r="B2" s="2" t="s">
        <v>108</v>
      </c>
      <c r="C2" s="2" t="s">
        <v>109</v>
      </c>
      <c r="D2" s="2" t="s">
        <v>110</v>
      </c>
      <c r="E2" s="7" t="s">
        <v>111</v>
      </c>
      <c r="F2" s="7" t="s">
        <v>112</v>
      </c>
      <c r="G2" s="13" t="s">
        <v>113</v>
      </c>
      <c r="H2" s="11" t="s">
        <v>35</v>
      </c>
    </row>
    <row r="3" ht="33" spans="1:9">
      <c r="A3" s="3" t="s">
        <v>114</v>
      </c>
      <c r="B3" s="3" t="s">
        <v>115</v>
      </c>
      <c r="C3" s="3" t="s">
        <v>116</v>
      </c>
      <c r="D3" s="3" t="s">
        <v>117</v>
      </c>
      <c r="E3" s="5" t="s">
        <v>118</v>
      </c>
      <c r="F3" s="5" t="s">
        <v>119</v>
      </c>
      <c r="G3" s="14" t="s">
        <v>120</v>
      </c>
      <c r="H3" s="11" t="s">
        <v>35</v>
      </c>
    </row>
    <row r="4" spans="1:9">
      <c r="A4" s="2" t="s">
        <v>121</v>
      </c>
      <c r="B4" s="2" t="s">
        <v>122</v>
      </c>
      <c r="C4" s="2" t="s">
        <v>123</v>
      </c>
      <c r="D4" s="2" t="s">
        <v>124</v>
      </c>
      <c r="E4" s="7" t="s">
        <v>125</v>
      </c>
      <c r="F4" s="7" t="s">
        <v>126</v>
      </c>
      <c r="G4" s="13" t="s">
        <v>127</v>
      </c>
      <c r="H4" s="11" t="s">
        <v>35</v>
      </c>
    </row>
    <row r="5" spans="1:9">
      <c r="A5" s="3" t="s">
        <v>128</v>
      </c>
      <c r="B5" s="3" t="s">
        <v>129</v>
      </c>
      <c r="C5" s="3" t="s">
        <v>130</v>
      </c>
      <c r="D5" s="3" t="s">
        <v>32</v>
      </c>
      <c r="E5" s="5" t="s">
        <v>32</v>
      </c>
      <c r="F5" s="5" t="s">
        <v>131</v>
      </c>
      <c r="G5" s="14" t="s">
        <v>132</v>
      </c>
      <c r="H5" s="11" t="s">
        <v>35</v>
      </c>
    </row>
    <row r="6" spans="1:9">
      <c r="A6" s="2" t="s">
        <v>133</v>
      </c>
      <c r="B6" s="2" t="s">
        <v>134</v>
      </c>
      <c r="C6" s="2" t="s">
        <v>135</v>
      </c>
      <c r="D6" s="2" t="s">
        <v>32</v>
      </c>
      <c r="E6" s="7" t="s">
        <v>32</v>
      </c>
      <c r="F6" s="7" t="s">
        <v>131</v>
      </c>
      <c r="G6" s="13" t="s">
        <v>132</v>
      </c>
      <c r="H6" s="11" t="s">
        <v>35</v>
      </c>
    </row>
    <row r="7" spans="1:9">
      <c r="A7" s="3" t="s">
        <v>136</v>
      </c>
      <c r="B7" s="3" t="s">
        <v>137</v>
      </c>
      <c r="C7" s="3" t="s">
        <v>138</v>
      </c>
      <c r="D7" s="3" t="s">
        <v>139</v>
      </c>
      <c r="E7" s="5" t="s">
        <v>32</v>
      </c>
      <c r="F7" s="5" t="s">
        <v>32</v>
      </c>
      <c r="G7" s="14" t="s">
        <v>140</v>
      </c>
      <c r="H7" s="11" t="s">
        <v>35</v>
      </c>
    </row>
    <row r="8" spans="1:9">
      <c r="A8" s="2" t="s">
        <v>141</v>
      </c>
      <c r="B8" s="2" t="s">
        <v>141</v>
      </c>
      <c r="C8" s="2" t="s">
        <v>142</v>
      </c>
      <c r="D8" s="2" t="s">
        <v>32</v>
      </c>
      <c r="E8" s="7" t="s">
        <v>32</v>
      </c>
      <c r="F8" s="7" t="s">
        <v>32</v>
      </c>
      <c r="G8" s="13" t="s">
        <v>143</v>
      </c>
      <c r="H8" s="11" t="s">
        <v>35</v>
      </c>
    </row>
    <row r="9" spans="1:9">
      <c r="A9" s="3" t="s">
        <v>144</v>
      </c>
      <c r="B9" s="3" t="s">
        <v>145</v>
      </c>
      <c r="C9" s="3" t="s">
        <v>146</v>
      </c>
      <c r="D9" s="3" t="s">
        <v>32</v>
      </c>
      <c r="E9" s="5" t="s">
        <v>32</v>
      </c>
      <c r="F9" s="5" t="s">
        <v>147</v>
      </c>
      <c r="G9" s="14" t="s">
        <v>148</v>
      </c>
      <c r="H9" s="11" t="s">
        <v>35</v>
      </c>
    </row>
    <row r="10" ht="33" spans="1:9">
      <c r="A10" s="2" t="s">
        <v>149</v>
      </c>
      <c r="B10" s="2" t="s">
        <v>150</v>
      </c>
      <c r="C10" s="2" t="s">
        <v>151</v>
      </c>
      <c r="D10" s="2" t="s">
        <v>32</v>
      </c>
      <c r="E10" s="7" t="s">
        <v>32</v>
      </c>
      <c r="F10" s="7" t="s">
        <v>32</v>
      </c>
      <c r="G10" s="13" t="s">
        <v>152</v>
      </c>
      <c r="H10" s="11" t="s">
        <v>35</v>
      </c>
    </row>
    <row r="11" spans="1:9">
      <c r="A11" s="3" t="s">
        <v>153</v>
      </c>
      <c r="B11" s="3" t="s">
        <v>154</v>
      </c>
      <c r="C11" s="3" t="s">
        <v>155</v>
      </c>
      <c r="D11" s="3" t="s">
        <v>32</v>
      </c>
      <c r="E11" s="5" t="s">
        <v>32</v>
      </c>
      <c r="F11" s="5" t="s">
        <v>156</v>
      </c>
      <c r="G11" s="14" t="s">
        <v>157</v>
      </c>
      <c r="H11" s="11" t="s">
        <v>35</v>
      </c>
    </row>
    <row r="12" ht="33" spans="1:9">
      <c r="A12" s="2" t="s">
        <v>158</v>
      </c>
      <c r="B12" s="2" t="s">
        <v>159</v>
      </c>
      <c r="C12" s="2" t="s">
        <v>160</v>
      </c>
      <c r="D12" s="2" t="s">
        <v>32</v>
      </c>
      <c r="E12" s="7" t="s">
        <v>32</v>
      </c>
      <c r="F12" s="7" t="s">
        <v>161</v>
      </c>
      <c r="G12" s="13" t="s">
        <v>162</v>
      </c>
      <c r="H12" s="11" t="s">
        <v>35</v>
      </c>
    </row>
    <row r="13" spans="1:9">
      <c r="A13" s="3" t="s">
        <v>163</v>
      </c>
      <c r="B13" s="3" t="s">
        <v>164</v>
      </c>
      <c r="C13" s="3" t="s">
        <v>165</v>
      </c>
      <c r="D13" s="3" t="s">
        <v>32</v>
      </c>
      <c r="E13" s="5" t="s">
        <v>32</v>
      </c>
      <c r="F13" s="5" t="s">
        <v>166</v>
      </c>
      <c r="G13" s="14" t="s">
        <v>167</v>
      </c>
      <c r="H13" s="11" t="s">
        <v>35</v>
      </c>
    </row>
    <row r="14" spans="1:9">
      <c r="A14" s="2" t="s">
        <v>168</v>
      </c>
      <c r="B14" s="2" t="s">
        <v>169</v>
      </c>
      <c r="C14" s="2" t="s">
        <v>170</v>
      </c>
      <c r="D14" s="2" t="s">
        <v>32</v>
      </c>
      <c r="E14" s="7" t="s">
        <v>32</v>
      </c>
      <c r="F14" s="7" t="s">
        <v>171</v>
      </c>
      <c r="G14" s="13" t="s">
        <v>172</v>
      </c>
      <c r="H14" s="11" t="s">
        <v>35</v>
      </c>
    </row>
    <row r="15" ht="33" spans="1:9">
      <c r="A15" s="3" t="s">
        <v>173</v>
      </c>
      <c r="B15" s="3" t="s">
        <v>174</v>
      </c>
      <c r="C15" s="3" t="s">
        <v>175</v>
      </c>
      <c r="D15" s="3" t="s">
        <v>32</v>
      </c>
      <c r="E15" s="5" t="s">
        <v>32</v>
      </c>
      <c r="F15" s="5" t="s">
        <v>176</v>
      </c>
      <c r="G15" s="14" t="s">
        <v>177</v>
      </c>
      <c r="H15" s="11" t="s">
        <v>35</v>
      </c>
    </row>
    <row r="16" spans="1:9">
      <c r="A16" s="2" t="s">
        <v>178</v>
      </c>
      <c r="B16" s="2" t="s">
        <v>179</v>
      </c>
      <c r="C16" s="2" t="s">
        <v>180</v>
      </c>
      <c r="D16" s="2" t="s">
        <v>32</v>
      </c>
      <c r="E16" s="7" t="s">
        <v>32</v>
      </c>
      <c r="F16" s="7" t="s">
        <v>181</v>
      </c>
      <c r="G16" s="13" t="s">
        <v>182</v>
      </c>
      <c r="H16" s="11" t="s">
        <v>35</v>
      </c>
    </row>
    <row r="17" spans="1:9">
      <c r="A17" s="3" t="s">
        <v>183</v>
      </c>
      <c r="B17" s="3" t="s">
        <v>184</v>
      </c>
      <c r="C17" s="3" t="s">
        <v>185</v>
      </c>
      <c r="D17" s="3" t="s">
        <v>32</v>
      </c>
      <c r="E17" s="5" t="s">
        <v>32</v>
      </c>
      <c r="F17" s="5" t="s">
        <v>186</v>
      </c>
      <c r="G17" s="14" t="s">
        <v>187</v>
      </c>
    </row>
    <row r="18" spans="1:9">
      <c r="A18" s="2" t="s">
        <v>188</v>
      </c>
      <c r="B18" s="2" t="s">
        <v>189</v>
      </c>
      <c r="C18" s="2" t="s">
        <v>190</v>
      </c>
      <c r="D18" s="2" t="s">
        <v>191</v>
      </c>
      <c r="E18" s="7" t="s">
        <v>32</v>
      </c>
      <c r="F18" s="7" t="s">
        <v>126</v>
      </c>
      <c r="G18" s="13" t="s">
        <v>192</v>
      </c>
      <c r="H18" s="11" t="s">
        <v>35</v>
      </c>
    </row>
    <row r="19" ht="33" spans="1:9">
      <c r="A19" s="3" t="s">
        <v>193</v>
      </c>
      <c r="B19" s="3" t="s">
        <v>194</v>
      </c>
      <c r="C19" s="3" t="s">
        <v>190</v>
      </c>
      <c r="D19" s="3" t="s">
        <v>195</v>
      </c>
      <c r="E19" s="5" t="s">
        <v>32</v>
      </c>
      <c r="F19" s="5" t="s">
        <v>196</v>
      </c>
      <c r="G19" s="14" t="s">
        <v>197</v>
      </c>
      <c r="H19" s="11" t="s">
        <v>35</v>
      </c>
    </row>
    <row r="20" spans="1:9">
      <c r="A20" s="2" t="s">
        <v>198</v>
      </c>
      <c r="B20" s="2" t="s">
        <v>199</v>
      </c>
      <c r="C20" s="2" t="s">
        <v>190</v>
      </c>
      <c r="D20" s="2" t="s">
        <v>191</v>
      </c>
      <c r="E20" s="7" t="s">
        <v>32</v>
      </c>
      <c r="F20" s="7" t="s">
        <v>200</v>
      </c>
      <c r="G20" s="13" t="s">
        <v>201</v>
      </c>
      <c r="H20" s="11" t="s">
        <v>35</v>
      </c>
    </row>
    <row r="21" spans="1:9">
      <c r="A21" s="3" t="s">
        <v>202</v>
      </c>
      <c r="B21" s="3" t="s">
        <v>203</v>
      </c>
      <c r="C21" s="3" t="s">
        <v>204</v>
      </c>
      <c r="D21" s="3" t="s">
        <v>32</v>
      </c>
      <c r="E21" s="5" t="s">
        <v>205</v>
      </c>
      <c r="F21" s="5" t="s">
        <v>32</v>
      </c>
      <c r="G21" s="14"/>
      <c r="H21" s="11" t="s">
        <v>76</v>
      </c>
      <c r="I21" s="11" t="s">
        <v>206</v>
      </c>
    </row>
    <row r="22" ht="33" spans="1:9">
      <c r="A22" s="2" t="s">
        <v>207</v>
      </c>
      <c r="B22" s="2" t="s">
        <v>208</v>
      </c>
      <c r="C22" s="2" t="s">
        <v>32</v>
      </c>
      <c r="D22" s="2" t="s">
        <v>32</v>
      </c>
      <c r="E22" s="7" t="s">
        <v>118</v>
      </c>
      <c r="F22" s="7" t="s">
        <v>32</v>
      </c>
      <c r="G22" s="13" t="s">
        <v>209</v>
      </c>
      <c r="H22" s="11" t="s">
        <v>35</v>
      </c>
    </row>
    <row r="23" ht="33" spans="1:9">
      <c r="A23" s="3" t="s">
        <v>210</v>
      </c>
      <c r="B23" s="3" t="s">
        <v>211</v>
      </c>
      <c r="C23" s="3" t="s">
        <v>212</v>
      </c>
      <c r="D23" s="3" t="s">
        <v>213</v>
      </c>
      <c r="E23" s="5" t="s">
        <v>214</v>
      </c>
      <c r="F23" s="5" t="s">
        <v>32</v>
      </c>
      <c r="G23" s="14" t="s">
        <v>215</v>
      </c>
      <c r="H23" s="11" t="s">
        <v>35</v>
      </c>
    </row>
  </sheetData>
  <dataValidations count="1">
    <dataValidation type="list" allowBlank="1" sqref="H2:H23">
      <formula1>"✓,✗,存疑"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pane ySplit="1" topLeftCell="A2" activePane="bottomLeft" state="frozen"/>
      <selection/>
      <selection pane="bottomLeft" activeCell="E25" sqref="E25"/>
    </sheetView>
  </sheetViews>
  <sheetFormatPr defaultColWidth="9" defaultRowHeight="13.5" outlineLevelCol="4"/>
  <cols>
    <col min="1" max="1" width="30" customWidth="1"/>
    <col min="2" max="2" width="12" customWidth="1"/>
    <col min="3" max="3" width="22" customWidth="1"/>
    <col min="4" max="4" width="10" customWidth="1"/>
    <col min="5" max="5" width="30" customWidth="1"/>
  </cols>
  <sheetData>
    <row r="1" ht="15" spans="1:5">
      <c r="A1" s="1" t="s">
        <v>216</v>
      </c>
      <c r="B1" s="1" t="s">
        <v>217</v>
      </c>
      <c r="C1" s="1" t="s">
        <v>20</v>
      </c>
      <c r="D1" s="1" t="s">
        <v>26</v>
      </c>
      <c r="E1" s="1" t="s">
        <v>27</v>
      </c>
    </row>
    <row r="2" ht="16.5" spans="1:5">
      <c r="A2" s="2" t="s">
        <v>218</v>
      </c>
      <c r="B2" s="7" t="s">
        <v>219</v>
      </c>
      <c r="C2" s="2" t="s">
        <v>220</v>
      </c>
      <c r="D2" t="s">
        <v>35</v>
      </c>
    </row>
    <row r="3" ht="16.5" spans="1:5">
      <c r="A3" s="3" t="s">
        <v>221</v>
      </c>
      <c r="B3" s="5" t="s">
        <v>222</v>
      </c>
      <c r="C3" s="3" t="s">
        <v>223</v>
      </c>
      <c r="D3" t="s">
        <v>35</v>
      </c>
    </row>
    <row r="4" ht="16.5" spans="1:5">
      <c r="A4" s="2" t="s">
        <v>221</v>
      </c>
      <c r="B4" s="7" t="s">
        <v>224</v>
      </c>
      <c r="C4" s="2" t="s">
        <v>225</v>
      </c>
      <c r="D4" t="s">
        <v>35</v>
      </c>
    </row>
    <row r="5" ht="16.5" spans="1:5">
      <c r="A5" s="3" t="s">
        <v>226</v>
      </c>
      <c r="B5" s="5" t="s">
        <v>227</v>
      </c>
      <c r="C5" s="3" t="s">
        <v>228</v>
      </c>
      <c r="D5" t="s">
        <v>35</v>
      </c>
    </row>
    <row r="6" ht="16.5" spans="1:5">
      <c r="A6" s="2" t="s">
        <v>229</v>
      </c>
      <c r="B6" s="7" t="s">
        <v>230</v>
      </c>
      <c r="C6" s="2" t="s">
        <v>231</v>
      </c>
      <c r="D6" t="s">
        <v>35</v>
      </c>
    </row>
    <row r="7" ht="16.5" spans="1:5">
      <c r="A7" s="3" t="s">
        <v>229</v>
      </c>
      <c r="B7" s="5" t="s">
        <v>232</v>
      </c>
      <c r="C7" s="3" t="s">
        <v>233</v>
      </c>
      <c r="D7" t="s">
        <v>35</v>
      </c>
    </row>
    <row r="8" ht="16.5" spans="1:5">
      <c r="A8" s="2" t="s">
        <v>229</v>
      </c>
      <c r="B8" s="7" t="s">
        <v>234</v>
      </c>
      <c r="C8" s="2" t="s">
        <v>235</v>
      </c>
      <c r="D8" t="s">
        <v>35</v>
      </c>
    </row>
    <row r="9" ht="16.5" spans="1:5">
      <c r="A9" s="3" t="s">
        <v>229</v>
      </c>
      <c r="B9" s="5" t="s">
        <v>236</v>
      </c>
      <c r="C9" s="3" t="s">
        <v>237</v>
      </c>
      <c r="D9" t="s">
        <v>35</v>
      </c>
    </row>
    <row r="10" ht="16.5" spans="1:5">
      <c r="A10" s="2" t="s">
        <v>229</v>
      </c>
      <c r="B10" s="7" t="s">
        <v>238</v>
      </c>
      <c r="C10" s="2" t="s">
        <v>239</v>
      </c>
      <c r="D10" t="s">
        <v>35</v>
      </c>
    </row>
    <row r="11" ht="16.5" spans="1:5">
      <c r="A11" s="3" t="s">
        <v>229</v>
      </c>
      <c r="B11" s="5" t="s">
        <v>240</v>
      </c>
      <c r="C11" s="3" t="s">
        <v>241</v>
      </c>
      <c r="D11" t="s">
        <v>35</v>
      </c>
    </row>
    <row r="12" ht="16.5" spans="1:5">
      <c r="A12" s="2" t="s">
        <v>242</v>
      </c>
      <c r="B12" s="7" t="s">
        <v>243</v>
      </c>
      <c r="C12" s="2" t="s">
        <v>244</v>
      </c>
      <c r="D12" t="s">
        <v>35</v>
      </c>
    </row>
    <row r="13" ht="16.5" spans="1:5">
      <c r="A13" s="3" t="s">
        <v>245</v>
      </c>
      <c r="B13" s="5" t="s">
        <v>246</v>
      </c>
      <c r="C13" s="3" t="s">
        <v>247</v>
      </c>
      <c r="D13" t="s">
        <v>35</v>
      </c>
    </row>
    <row r="14" ht="16.5" spans="1:5">
      <c r="A14" s="2" t="s">
        <v>245</v>
      </c>
      <c r="B14" s="7" t="s">
        <v>248</v>
      </c>
      <c r="C14" s="2" t="s">
        <v>249</v>
      </c>
      <c r="D14" t="s">
        <v>35</v>
      </c>
    </row>
    <row r="15" ht="16.5" spans="1:5">
      <c r="A15" s="3" t="s">
        <v>245</v>
      </c>
      <c r="B15" s="5" t="s">
        <v>250</v>
      </c>
      <c r="C15" s="3" t="s">
        <v>251</v>
      </c>
      <c r="D15" t="s">
        <v>35</v>
      </c>
    </row>
    <row r="16" ht="16.5" spans="1:5">
      <c r="A16" s="2" t="s">
        <v>245</v>
      </c>
      <c r="B16" s="7" t="s">
        <v>252</v>
      </c>
      <c r="C16" s="2" t="s">
        <v>253</v>
      </c>
      <c r="D16" t="s">
        <v>35</v>
      </c>
    </row>
    <row r="17" ht="16.5" spans="1:4">
      <c r="A17" s="3" t="s">
        <v>245</v>
      </c>
      <c r="B17" s="5" t="s">
        <v>254</v>
      </c>
      <c r="C17" s="3" t="s">
        <v>255</v>
      </c>
      <c r="D17" t="s">
        <v>35</v>
      </c>
    </row>
    <row r="18" ht="16.5" spans="1:4">
      <c r="A18" s="2" t="s">
        <v>245</v>
      </c>
      <c r="B18" s="7" t="s">
        <v>256</v>
      </c>
      <c r="C18" s="2" t="s">
        <v>257</v>
      </c>
      <c r="D18" t="s">
        <v>35</v>
      </c>
    </row>
  </sheetData>
  <dataValidations count="1">
    <dataValidation type="list" allowBlank="1" sqref="D2:D18">
      <formula1>"✓,✗,存疑"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2" topLeftCell="A3" activePane="bottomLeft" state="frozen"/>
      <selection/>
      <selection pane="bottomLeft" activeCell="C3" sqref="C3"/>
    </sheetView>
  </sheetViews>
  <sheetFormatPr defaultColWidth="9" defaultRowHeight="13.5" outlineLevelCol="7"/>
  <cols>
    <col min="1" max="1" width="5" customWidth="1"/>
    <col min="2" max="2" width="14" customWidth="1"/>
    <col min="3" max="3" width="18" customWidth="1"/>
    <col min="4" max="4" width="12" customWidth="1"/>
    <col min="5" max="5" width="46" customWidth="1"/>
    <col min="6" max="6" width="40" customWidth="1"/>
    <col min="7" max="7" width="10" customWidth="1"/>
    <col min="8" max="8" width="26" customWidth="1"/>
  </cols>
  <sheetData>
    <row r="1" ht="16.5" spans="1:8">
      <c r="A1" s="4" t="s">
        <v>258</v>
      </c>
    </row>
    <row r="2" ht="15" spans="1:8">
      <c r="A2" s="1" t="s">
        <v>18</v>
      </c>
      <c r="B2" s="1" t="s">
        <v>259</v>
      </c>
      <c r="C2" s="1" t="s">
        <v>260</v>
      </c>
      <c r="D2" s="1" t="s">
        <v>261</v>
      </c>
      <c r="E2" s="1" t="s">
        <v>262</v>
      </c>
      <c r="F2" s="1" t="s">
        <v>263</v>
      </c>
      <c r="G2" s="1" t="s">
        <v>26</v>
      </c>
      <c r="H2" s="1" t="s">
        <v>27</v>
      </c>
    </row>
    <row r="3" ht="49.5" spans="1:8">
      <c r="A3" s="5">
        <v>1</v>
      </c>
      <c r="B3" s="3" t="s">
        <v>264</v>
      </c>
      <c r="C3" s="5" t="s">
        <v>265</v>
      </c>
      <c r="D3" s="5" t="s">
        <v>266</v>
      </c>
      <c r="E3" s="3" t="s">
        <v>267</v>
      </c>
      <c r="F3" s="3" t="s">
        <v>268</v>
      </c>
      <c r="G3" s="6" t="s">
        <v>76</v>
      </c>
      <c r="H3" s="6" t="s">
        <v>269</v>
      </c>
    </row>
    <row r="4" ht="16.5" spans="1:8">
      <c r="A4" s="7">
        <v>2</v>
      </c>
      <c r="B4" s="2" t="s">
        <v>270</v>
      </c>
      <c r="C4" s="7" t="s">
        <v>271</v>
      </c>
      <c r="D4" s="7" t="s">
        <v>266</v>
      </c>
      <c r="E4" s="2" t="s">
        <v>272</v>
      </c>
      <c r="F4" s="2" t="s">
        <v>273</v>
      </c>
      <c r="G4" s="6" t="s">
        <v>35</v>
      </c>
    </row>
    <row r="5" ht="16.5" spans="1:8">
      <c r="A5" s="5">
        <v>3</v>
      </c>
      <c r="B5" s="3" t="s">
        <v>274</v>
      </c>
      <c r="C5" s="5" t="s">
        <v>275</v>
      </c>
      <c r="D5" s="5" t="s">
        <v>266</v>
      </c>
      <c r="E5" s="3" t="s">
        <v>276</v>
      </c>
      <c r="F5" s="3" t="s">
        <v>273</v>
      </c>
      <c r="G5" s="6" t="s">
        <v>35</v>
      </c>
    </row>
    <row r="6" ht="16.5" spans="1:8">
      <c r="A6" s="7">
        <v>4</v>
      </c>
      <c r="B6" s="2" t="s">
        <v>277</v>
      </c>
      <c r="C6" s="7" t="s">
        <v>278</v>
      </c>
      <c r="D6" s="7" t="s">
        <v>266</v>
      </c>
      <c r="E6" s="2" t="s">
        <v>279</v>
      </c>
      <c r="F6" s="2" t="s">
        <v>280</v>
      </c>
      <c r="G6" s="6" t="s">
        <v>35</v>
      </c>
    </row>
    <row r="7" ht="33" spans="1:8">
      <c r="A7" s="5">
        <v>5</v>
      </c>
      <c r="B7" s="3" t="s">
        <v>281</v>
      </c>
      <c r="C7" s="5" t="s">
        <v>282</v>
      </c>
      <c r="D7" s="5" t="s">
        <v>283</v>
      </c>
      <c r="E7" s="3" t="s">
        <v>284</v>
      </c>
      <c r="F7" s="3" t="s">
        <v>285</v>
      </c>
      <c r="G7" s="6" t="s">
        <v>35</v>
      </c>
    </row>
    <row r="8" ht="16.5" spans="1:8">
      <c r="A8" s="7">
        <v>6</v>
      </c>
      <c r="B8" s="2" t="s">
        <v>228</v>
      </c>
      <c r="C8" s="7" t="s">
        <v>286</v>
      </c>
      <c r="D8" s="7" t="s">
        <v>283</v>
      </c>
      <c r="E8" s="2" t="s">
        <v>287</v>
      </c>
      <c r="F8" s="2" t="s">
        <v>273</v>
      </c>
      <c r="G8" s="6" t="s">
        <v>35</v>
      </c>
    </row>
    <row r="9" ht="16.5" spans="1:8">
      <c r="A9" s="5">
        <v>7</v>
      </c>
      <c r="B9" s="3" t="s">
        <v>288</v>
      </c>
      <c r="C9" s="5" t="s">
        <v>289</v>
      </c>
      <c r="D9" s="5" t="s">
        <v>290</v>
      </c>
      <c r="E9" s="3" t="s">
        <v>291</v>
      </c>
      <c r="F9" s="3" t="s">
        <v>292</v>
      </c>
      <c r="G9" s="6" t="s">
        <v>35</v>
      </c>
    </row>
    <row r="10" ht="16.5" spans="1:8">
      <c r="A10" s="7">
        <v>8</v>
      </c>
      <c r="B10" s="2" t="s">
        <v>293</v>
      </c>
      <c r="C10" s="7" t="s">
        <v>294</v>
      </c>
      <c r="D10" s="7" t="s">
        <v>290</v>
      </c>
      <c r="E10" s="2" t="s">
        <v>295</v>
      </c>
      <c r="F10" s="2" t="s">
        <v>296</v>
      </c>
      <c r="G10" s="6" t="s">
        <v>35</v>
      </c>
    </row>
    <row r="11" ht="16.5" spans="1:8">
      <c r="A11" s="5">
        <v>9</v>
      </c>
      <c r="B11" s="3" t="s">
        <v>297</v>
      </c>
      <c r="C11" s="5" t="s">
        <v>298</v>
      </c>
      <c r="D11" s="5" t="s">
        <v>290</v>
      </c>
      <c r="E11" s="3" t="s">
        <v>299</v>
      </c>
      <c r="F11" s="3" t="s">
        <v>300</v>
      </c>
      <c r="G11" s="6" t="s">
        <v>35</v>
      </c>
    </row>
    <row r="12" ht="33" spans="1:8">
      <c r="A12" s="7">
        <v>10</v>
      </c>
      <c r="B12" s="2" t="s">
        <v>301</v>
      </c>
      <c r="C12" s="7" t="s">
        <v>302</v>
      </c>
      <c r="D12" s="7" t="s">
        <v>266</v>
      </c>
      <c r="E12" s="2" t="s">
        <v>303</v>
      </c>
      <c r="F12" s="2" t="s">
        <v>304</v>
      </c>
      <c r="G12" s="6" t="s">
        <v>35</v>
      </c>
    </row>
    <row r="13" ht="33" spans="1:8">
      <c r="A13" s="5">
        <v>11</v>
      </c>
      <c r="B13" s="3" t="s">
        <v>305</v>
      </c>
      <c r="C13" s="5" t="s">
        <v>306</v>
      </c>
      <c r="D13" s="5" t="s">
        <v>266</v>
      </c>
      <c r="E13" s="3" t="s">
        <v>307</v>
      </c>
      <c r="F13" s="3" t="s">
        <v>308</v>
      </c>
      <c r="G13" s="6" t="s">
        <v>35</v>
      </c>
    </row>
    <row r="14" ht="16.5" spans="1:8">
      <c r="A14" s="7">
        <v>12</v>
      </c>
      <c r="B14" s="2" t="s">
        <v>309</v>
      </c>
      <c r="C14" s="7" t="s">
        <v>310</v>
      </c>
      <c r="D14" s="7" t="s">
        <v>266</v>
      </c>
      <c r="E14" s="2" t="s">
        <v>311</v>
      </c>
      <c r="F14" s="2" t="s">
        <v>280</v>
      </c>
      <c r="G14" s="6" t="s">
        <v>35</v>
      </c>
    </row>
    <row r="15" ht="16.5" spans="1:8">
      <c r="A15" s="10"/>
      <c r="B15" s="6"/>
      <c r="D15" s="10"/>
      <c r="G15" s="6"/>
    </row>
  </sheetData>
  <mergeCells count="1">
    <mergeCell ref="A1:G1"/>
  </mergeCells>
  <dataValidations count="1">
    <dataValidation type="list" allowBlank="1" sqref="G3:G15">
      <formula1>"✓,✗,存疑"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E5" sqref="E5"/>
    </sheetView>
  </sheetViews>
  <sheetFormatPr defaultColWidth="9" defaultRowHeight="13.5" outlineLevelRow="4" outlineLevelCol="5"/>
  <cols>
    <col min="1" max="1" width="16" customWidth="1"/>
    <col min="2" max="2" width="18" customWidth="1"/>
    <col min="3" max="3" width="28" customWidth="1"/>
    <col min="4" max="4" width="50" customWidth="1"/>
    <col min="5" max="5" width="10" customWidth="1"/>
    <col min="6" max="6" width="28" customWidth="1"/>
  </cols>
  <sheetData>
    <row r="1" ht="30" customHeight="1" spans="1:6">
      <c r="A1" s="1" t="s">
        <v>312</v>
      </c>
      <c r="B1" s="1" t="s">
        <v>313</v>
      </c>
      <c r="C1" s="1" t="s">
        <v>104</v>
      </c>
      <c r="D1" s="1" t="s">
        <v>314</v>
      </c>
      <c r="E1" s="1" t="s">
        <v>26</v>
      </c>
      <c r="F1" s="1" t="s">
        <v>27</v>
      </c>
    </row>
    <row r="2" ht="44.1" customHeight="1" spans="1:6">
      <c r="A2" s="2" t="s">
        <v>315</v>
      </c>
      <c r="B2" s="7" t="s">
        <v>316</v>
      </c>
      <c r="C2" s="2" t="s">
        <v>317</v>
      </c>
      <c r="D2" s="2" t="s">
        <v>317</v>
      </c>
      <c r="E2" s="8" t="s">
        <v>35</v>
      </c>
    </row>
    <row r="3" ht="44.1" customHeight="1" spans="1:6">
      <c r="A3" s="3" t="s">
        <v>318</v>
      </c>
      <c r="B3" s="5" t="s">
        <v>319</v>
      </c>
      <c r="C3" s="3" t="s">
        <v>320</v>
      </c>
      <c r="D3" s="3" t="s">
        <v>321</v>
      </c>
      <c r="E3" s="6" t="s">
        <v>35</v>
      </c>
    </row>
    <row r="4" ht="44.1" customHeight="1" spans="1:6">
      <c r="A4" s="2" t="s">
        <v>322</v>
      </c>
      <c r="B4" s="7" t="s">
        <v>323</v>
      </c>
      <c r="C4" s="2" t="s">
        <v>324</v>
      </c>
      <c r="D4" s="2" t="s">
        <v>325</v>
      </c>
      <c r="E4" s="8" t="s">
        <v>35</v>
      </c>
    </row>
    <row r="5" ht="44.1" customHeight="1" spans="1:6">
      <c r="A5" s="3" t="s">
        <v>326</v>
      </c>
      <c r="B5" s="5" t="s">
        <v>327</v>
      </c>
      <c r="C5" s="3" t="s">
        <v>328</v>
      </c>
      <c r="D5" s="3" t="s">
        <v>329</v>
      </c>
      <c r="E5" s="6" t="s">
        <v>35</v>
      </c>
    </row>
  </sheetData>
  <dataValidations count="1">
    <dataValidation type="list" allowBlank="1" sqref="E2:E5">
      <formula1>"✓,✗,存疑"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pane ySplit="2" topLeftCell="A15" activePane="bottomLeft" state="frozen"/>
      <selection/>
      <selection pane="bottomLeft" activeCell="B15" sqref="B15:F15"/>
    </sheetView>
  </sheetViews>
  <sheetFormatPr defaultColWidth="9" defaultRowHeight="13.5" outlineLevelCol="5"/>
  <cols>
    <col min="1" max="1" width="5" customWidth="1"/>
    <col min="2" max="2" width="34" customWidth="1"/>
    <col min="3" max="3" width="24" customWidth="1"/>
    <col min="4" max="4" width="50" customWidth="1"/>
    <col min="5" max="5" width="10" customWidth="1"/>
    <col min="6" max="6" width="26" customWidth="1"/>
  </cols>
  <sheetData>
    <row r="1" ht="16.5" spans="1:6">
      <c r="A1" s="4" t="s">
        <v>330</v>
      </c>
    </row>
    <row r="2" ht="15" spans="1:6">
      <c r="A2" s="1" t="s">
        <v>18</v>
      </c>
      <c r="B2" s="1" t="s">
        <v>313</v>
      </c>
      <c r="C2" s="1" t="s">
        <v>331</v>
      </c>
      <c r="D2" s="1" t="s">
        <v>332</v>
      </c>
      <c r="E2" s="1" t="s">
        <v>26</v>
      </c>
      <c r="F2" s="1" t="s">
        <v>27</v>
      </c>
    </row>
    <row r="3" ht="33" spans="1:6">
      <c r="A3" s="5">
        <v>1</v>
      </c>
      <c r="B3" s="3" t="s">
        <v>333</v>
      </c>
      <c r="C3" s="3" t="s">
        <v>334</v>
      </c>
      <c r="D3" s="3" t="s">
        <v>335</v>
      </c>
      <c r="E3" s="6" t="s">
        <v>35</v>
      </c>
    </row>
    <row r="4" ht="16.5" spans="1:6">
      <c r="A4" s="7">
        <v>2</v>
      </c>
      <c r="B4" s="2" t="s">
        <v>336</v>
      </c>
      <c r="C4" s="2" t="s">
        <v>337</v>
      </c>
      <c r="D4" s="2" t="s">
        <v>338</v>
      </c>
      <c r="E4" s="8" t="s">
        <v>35</v>
      </c>
    </row>
    <row r="5" ht="16.5" spans="1:6">
      <c r="A5" s="5">
        <v>3</v>
      </c>
      <c r="B5" s="3" t="s">
        <v>339</v>
      </c>
      <c r="C5" s="3" t="s">
        <v>340</v>
      </c>
      <c r="D5" s="3"/>
      <c r="E5" t="s">
        <v>35</v>
      </c>
    </row>
    <row r="6" ht="33" spans="1:6">
      <c r="A6" s="7">
        <v>4</v>
      </c>
      <c r="B6" s="2" t="s">
        <v>341</v>
      </c>
      <c r="C6" s="2" t="s">
        <v>342</v>
      </c>
      <c r="D6" s="2"/>
      <c r="E6" t="s">
        <v>35</v>
      </c>
    </row>
    <row r="7" ht="33" spans="1:6">
      <c r="A7" s="5">
        <v>5</v>
      </c>
      <c r="B7" s="3" t="s">
        <v>343</v>
      </c>
      <c r="C7" s="3" t="s">
        <v>344</v>
      </c>
      <c r="D7" s="3"/>
      <c r="E7" t="s">
        <v>35</v>
      </c>
    </row>
    <row r="8" ht="33" spans="1:6">
      <c r="A8" s="7">
        <v>6</v>
      </c>
      <c r="B8" s="2" t="s">
        <v>345</v>
      </c>
      <c r="C8" s="2" t="s">
        <v>346</v>
      </c>
      <c r="D8" s="2" t="s">
        <v>347</v>
      </c>
      <c r="E8" t="s">
        <v>35</v>
      </c>
    </row>
    <row r="9" ht="16.5" spans="1:6">
      <c r="A9" s="5">
        <v>7</v>
      </c>
      <c r="B9" s="3" t="s">
        <v>348</v>
      </c>
      <c r="C9" s="3" t="s">
        <v>349</v>
      </c>
      <c r="D9" s="3" t="s">
        <v>350</v>
      </c>
      <c r="E9" t="s">
        <v>35</v>
      </c>
    </row>
    <row r="10" ht="33" spans="1:6">
      <c r="A10" s="7">
        <v>8</v>
      </c>
      <c r="B10" s="2" t="s">
        <v>351</v>
      </c>
      <c r="C10" s="2" t="s">
        <v>352</v>
      </c>
      <c r="D10" s="2" t="s">
        <v>353</v>
      </c>
      <c r="E10" t="s">
        <v>35</v>
      </c>
    </row>
    <row r="11" ht="16.5" spans="1:6">
      <c r="A11" s="5">
        <v>9</v>
      </c>
      <c r="B11" s="3" t="s">
        <v>354</v>
      </c>
      <c r="C11" s="3" t="s">
        <v>355</v>
      </c>
      <c r="D11" s="3" t="s">
        <v>356</v>
      </c>
      <c r="E11" t="s">
        <v>35</v>
      </c>
    </row>
    <row r="12" ht="16.5" spans="1:6">
      <c r="A12" s="7">
        <v>10</v>
      </c>
      <c r="B12" s="2" t="s">
        <v>357</v>
      </c>
      <c r="C12" s="2" t="s">
        <v>358</v>
      </c>
      <c r="D12" s="2" t="s">
        <v>359</v>
      </c>
      <c r="E12" t="s">
        <v>35</v>
      </c>
    </row>
    <row r="13" ht="16.5" spans="1:6">
      <c r="A13" s="5">
        <v>11</v>
      </c>
      <c r="B13" s="3" t="s">
        <v>360</v>
      </c>
      <c r="C13" s="3" t="s">
        <v>361</v>
      </c>
      <c r="D13" s="3" t="s">
        <v>362</v>
      </c>
      <c r="E13" t="s">
        <v>35</v>
      </c>
    </row>
    <row r="14" ht="16.5" spans="1:6">
      <c r="A14" s="7">
        <v>12</v>
      </c>
      <c r="B14" s="2" t="s">
        <v>363</v>
      </c>
      <c r="C14" s="2" t="s">
        <v>364</v>
      </c>
      <c r="D14" s="2" t="s">
        <v>365</v>
      </c>
      <c r="E14" t="s">
        <v>35</v>
      </c>
    </row>
    <row r="15" ht="33" spans="1:6">
      <c r="A15" s="5">
        <v>13</v>
      </c>
      <c r="B15" s="3" t="s">
        <v>366</v>
      </c>
      <c r="C15" s="3" t="s">
        <v>367</v>
      </c>
      <c r="D15" s="9" t="s">
        <v>368</v>
      </c>
      <c r="E15" t="s">
        <v>76</v>
      </c>
      <c r="F15" s="6" t="s">
        <v>269</v>
      </c>
    </row>
    <row r="16" ht="33" spans="1:6">
      <c r="A16" s="7">
        <v>14</v>
      </c>
      <c r="B16" s="2" t="s">
        <v>369</v>
      </c>
      <c r="C16" s="2" t="s">
        <v>370</v>
      </c>
      <c r="D16" s="2" t="s">
        <v>371</v>
      </c>
      <c r="E16" t="s">
        <v>35</v>
      </c>
    </row>
    <row r="17" ht="16.5" spans="1:5">
      <c r="A17" s="5">
        <v>15</v>
      </c>
      <c r="B17" s="3" t="s">
        <v>372</v>
      </c>
      <c r="C17" s="3" t="s">
        <v>373</v>
      </c>
      <c r="D17" s="3"/>
      <c r="E17" t="s">
        <v>35</v>
      </c>
    </row>
    <row r="18" ht="16.5" spans="1:5">
      <c r="A18" s="7">
        <v>16</v>
      </c>
      <c r="B18" s="2" t="s">
        <v>374</v>
      </c>
      <c r="C18" s="2" t="s">
        <v>375</v>
      </c>
      <c r="D18" s="2" t="s">
        <v>376</v>
      </c>
      <c r="E18" t="s">
        <v>35</v>
      </c>
    </row>
    <row r="19" ht="33" spans="1:5">
      <c r="A19" s="5">
        <v>17</v>
      </c>
      <c r="B19" s="3" t="s">
        <v>377</v>
      </c>
      <c r="C19" s="3" t="s">
        <v>378</v>
      </c>
      <c r="D19" s="3"/>
      <c r="E19" t="s">
        <v>35</v>
      </c>
    </row>
    <row r="20" ht="33" spans="1:5">
      <c r="A20" s="7">
        <v>18</v>
      </c>
      <c r="B20" s="2" t="s">
        <v>379</v>
      </c>
      <c r="C20" s="2" t="s">
        <v>380</v>
      </c>
      <c r="D20" s="2"/>
      <c r="E20" t="s">
        <v>35</v>
      </c>
    </row>
    <row r="21" ht="16.5" spans="1:5">
      <c r="A21" s="5">
        <v>19</v>
      </c>
      <c r="B21" s="3" t="s">
        <v>381</v>
      </c>
      <c r="C21" s="3" t="s">
        <v>382</v>
      </c>
      <c r="D21" s="3" t="s">
        <v>383</v>
      </c>
      <c r="E21" t="s">
        <v>35</v>
      </c>
    </row>
    <row r="22" ht="16.5" spans="1:5">
      <c r="A22" s="7">
        <v>20</v>
      </c>
      <c r="B22" s="2" t="s">
        <v>384</v>
      </c>
      <c r="C22" s="2" t="s">
        <v>385</v>
      </c>
      <c r="D22" s="2"/>
      <c r="E22" t="s">
        <v>35</v>
      </c>
    </row>
    <row r="23" ht="16.5" spans="1:5">
      <c r="A23" s="5">
        <v>21</v>
      </c>
      <c r="B23" s="3" t="s">
        <v>386</v>
      </c>
      <c r="C23" s="3" t="s">
        <v>387</v>
      </c>
      <c r="D23" s="3"/>
      <c r="E23" t="s">
        <v>35</v>
      </c>
    </row>
    <row r="24" ht="16.5" spans="1:5">
      <c r="A24" s="7">
        <v>22</v>
      </c>
      <c r="B24" s="2" t="s">
        <v>388</v>
      </c>
      <c r="C24" s="2" t="s">
        <v>389</v>
      </c>
      <c r="D24" s="2"/>
      <c r="E24" t="s">
        <v>35</v>
      </c>
    </row>
    <row r="25" ht="16.5" spans="1:5">
      <c r="A25" s="5">
        <v>23</v>
      </c>
      <c r="B25" s="3" t="s">
        <v>390</v>
      </c>
      <c r="C25" s="3" t="s">
        <v>391</v>
      </c>
      <c r="D25" s="3"/>
      <c r="E25" t="s">
        <v>35</v>
      </c>
    </row>
    <row r="26" ht="16.5" spans="1:5">
      <c r="A26" s="7">
        <v>24</v>
      </c>
      <c r="B26" s="2" t="s">
        <v>392</v>
      </c>
      <c r="C26" s="2" t="s">
        <v>393</v>
      </c>
      <c r="D26" s="2"/>
      <c r="E26" t="s">
        <v>35</v>
      </c>
    </row>
    <row r="27" ht="16.5" spans="1:5">
      <c r="A27" s="5">
        <v>25</v>
      </c>
      <c r="B27" s="3" t="s">
        <v>394</v>
      </c>
      <c r="C27" s="3" t="s">
        <v>395</v>
      </c>
      <c r="D27" s="3"/>
      <c r="E27" t="s">
        <v>35</v>
      </c>
    </row>
    <row r="28" ht="16.5" spans="1:5">
      <c r="A28" s="7">
        <v>26</v>
      </c>
      <c r="B28" s="2" t="s">
        <v>396</v>
      </c>
      <c r="C28" s="2" t="s">
        <v>397</v>
      </c>
      <c r="D28" s="2"/>
      <c r="E28" t="s">
        <v>35</v>
      </c>
    </row>
    <row r="29" ht="16.5" spans="1:5">
      <c r="A29" s="5">
        <v>27</v>
      </c>
      <c r="B29" s="3" t="s">
        <v>398</v>
      </c>
      <c r="C29" s="3" t="s">
        <v>399</v>
      </c>
      <c r="D29" s="3"/>
      <c r="E29" t="s">
        <v>35</v>
      </c>
    </row>
    <row r="30" ht="16.5" spans="1:5">
      <c r="A30" s="7">
        <v>28</v>
      </c>
      <c r="B30" s="2" t="s">
        <v>400</v>
      </c>
      <c r="C30" s="2" t="s">
        <v>401</v>
      </c>
      <c r="D30" s="2"/>
      <c r="E30" t="s">
        <v>35</v>
      </c>
    </row>
    <row r="31" ht="16.5" spans="1:5">
      <c r="A31" s="5">
        <v>29</v>
      </c>
      <c r="B31" s="3" t="s">
        <v>402</v>
      </c>
      <c r="C31" s="3" t="s">
        <v>403</v>
      </c>
      <c r="D31" s="3"/>
      <c r="E31" t="s">
        <v>35</v>
      </c>
    </row>
    <row r="32" ht="16.5" spans="1:5">
      <c r="A32" s="7">
        <v>30</v>
      </c>
      <c r="B32" s="2" t="s">
        <v>404</v>
      </c>
      <c r="C32" s="2" t="s">
        <v>405</v>
      </c>
      <c r="D32" s="2"/>
      <c r="E32" t="s">
        <v>35</v>
      </c>
    </row>
    <row r="33" ht="16.5" spans="1:5">
      <c r="A33" s="5">
        <v>31</v>
      </c>
      <c r="B33" s="3" t="s">
        <v>406</v>
      </c>
      <c r="C33" s="3" t="s">
        <v>407</v>
      </c>
      <c r="D33" s="3"/>
      <c r="E33" t="s">
        <v>35</v>
      </c>
    </row>
    <row r="34" ht="16.5" spans="1:5">
      <c r="A34" s="7">
        <v>32</v>
      </c>
      <c r="B34" s="2" t="s">
        <v>408</v>
      </c>
      <c r="C34" s="2" t="s">
        <v>409</v>
      </c>
      <c r="D34" s="2"/>
      <c r="E34" t="s">
        <v>35</v>
      </c>
    </row>
    <row r="35" ht="33" spans="1:5">
      <c r="A35" s="5">
        <v>33</v>
      </c>
      <c r="B35" s="3" t="s">
        <v>410</v>
      </c>
      <c r="C35" s="3" t="s">
        <v>411</v>
      </c>
      <c r="D35" s="3"/>
      <c r="E35" t="s">
        <v>35</v>
      </c>
    </row>
    <row r="36" ht="33" spans="1:5">
      <c r="A36" s="7">
        <v>34</v>
      </c>
      <c r="B36" s="2" t="s">
        <v>412</v>
      </c>
      <c r="C36" s="2" t="s">
        <v>413</v>
      </c>
      <c r="D36" s="2"/>
      <c r="E36" t="s">
        <v>35</v>
      </c>
    </row>
    <row r="37" ht="33" spans="1:5">
      <c r="A37" s="5">
        <v>35</v>
      </c>
      <c r="B37" s="3" t="s">
        <v>414</v>
      </c>
      <c r="C37" s="3" t="s">
        <v>415</v>
      </c>
      <c r="D37" s="3"/>
      <c r="E37" t="s">
        <v>35</v>
      </c>
    </row>
    <row r="38" ht="16.5" spans="1:5">
      <c r="A38" s="7">
        <v>36</v>
      </c>
      <c r="B38" s="2" t="s">
        <v>416</v>
      </c>
      <c r="C38" s="2" t="s">
        <v>417</v>
      </c>
      <c r="D38" s="2" t="s">
        <v>418</v>
      </c>
      <c r="E38" t="s">
        <v>35</v>
      </c>
    </row>
    <row r="39" ht="16.5" spans="1:5">
      <c r="A39" s="5">
        <v>37</v>
      </c>
      <c r="B39" s="3" t="s">
        <v>419</v>
      </c>
      <c r="C39" s="3" t="s">
        <v>420</v>
      </c>
      <c r="D39" s="3" t="s">
        <v>421</v>
      </c>
      <c r="E39" t="s">
        <v>35</v>
      </c>
    </row>
    <row r="40" ht="16.5" spans="1:5">
      <c r="A40" s="7">
        <v>38</v>
      </c>
      <c r="B40" s="2" t="s">
        <v>422</v>
      </c>
      <c r="C40" s="2" t="s">
        <v>423</v>
      </c>
      <c r="D40" s="2"/>
      <c r="E40" t="s">
        <v>35</v>
      </c>
    </row>
  </sheetData>
  <mergeCells count="1">
    <mergeCell ref="A1:F1"/>
  </mergeCells>
  <dataValidations count="1">
    <dataValidation type="list" allowBlank="1" sqref="E3:E40">
      <formula1>"✓,✗,存疑"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F5" sqref="F5"/>
    </sheetView>
  </sheetViews>
  <sheetFormatPr defaultColWidth="9" defaultRowHeight="13.5" outlineLevelRow="2" outlineLevelCol="5"/>
  <cols>
    <col min="1" max="1" width="40" customWidth="1"/>
    <col min="2" max="2" width="20" customWidth="1"/>
    <col min="3" max="3" width="34" customWidth="1"/>
    <col min="4" max="4" width="44" customWidth="1"/>
    <col min="5" max="5" width="10" customWidth="1"/>
    <col min="6" max="6" width="26" customWidth="1"/>
  </cols>
  <sheetData>
    <row r="1" ht="30" customHeight="1" spans="1:6">
      <c r="A1" s="1" t="s">
        <v>424</v>
      </c>
      <c r="B1" s="1" t="s">
        <v>104</v>
      </c>
      <c r="C1" s="1" t="s">
        <v>425</v>
      </c>
      <c r="D1" s="1" t="s">
        <v>106</v>
      </c>
      <c r="E1" s="1" t="s">
        <v>26</v>
      </c>
      <c r="F1" s="1" t="s">
        <v>27</v>
      </c>
    </row>
    <row r="2" ht="56.1" customHeight="1" spans="1:6">
      <c r="A2" s="2" t="s">
        <v>426</v>
      </c>
      <c r="B2" s="2" t="s">
        <v>427</v>
      </c>
      <c r="C2" s="2" t="s">
        <v>428</v>
      </c>
      <c r="D2" s="2" t="s">
        <v>429</v>
      </c>
      <c r="E2" t="s">
        <v>35</v>
      </c>
    </row>
    <row r="3" ht="56.1" customHeight="1" spans="1:6">
      <c r="A3" s="3" t="s">
        <v>430</v>
      </c>
      <c r="B3" s="3" t="s">
        <v>431</v>
      </c>
      <c r="C3" s="3" t="s">
        <v>432</v>
      </c>
      <c r="D3" s="3" t="s">
        <v>433</v>
      </c>
      <c r="E3" t="s">
        <v>35</v>
      </c>
    </row>
  </sheetData>
  <dataValidations count="1">
    <dataValidation type="list" allowBlank="1" sqref="E2:E3">
      <formula1>"✓,✗,存疑"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① 指标-Metrics</vt:lpstr>
      <vt:lpstr>② 维度-Dimensions</vt:lpstr>
      <vt:lpstr>③ 渠道编码</vt:lpstr>
      <vt:lpstr>④ 产品分类</vt:lpstr>
      <vt:lpstr>⑤ 组织层级</vt:lpstr>
      <vt:lpstr>⑥ 主数据-物料</vt:lpstr>
      <vt:lpstr>⑦ 主数据-渠道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有钱男子汉，没钱汉子难</cp:lastModifiedBy>
  <dcterms:created xsi:type="dcterms:W3CDTF">2026-08-13T09:00:00Z</dcterms:created>
  <dcterms:modified xsi:type="dcterms:W3CDTF">2026-08-17T01:23:00Z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E7F2FD08E79A4CA69CA6A85D84C463FE_12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