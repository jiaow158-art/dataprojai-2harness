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book.xml" ContentType="application/vnd.openxmlformats-officedocument.spreadsheetml.sheet.mai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问答及展示框架" sheetId="1" r:id="rId4"/>
    <sheet name="各类报表建议" sheetId="2" r:id="rId5"/>
  </sheets>
  <calcPr/>
</workbook>
</file>

<file path=xl/comments1.xml><?xml version="1.0" encoding="utf-8"?>
<comments xmlns="http://schemas.openxmlformats.org/spreadsheetml/2006/main">
  <authors>
    <author>tc={7E79E365-1A78-4E0A-9847-032384181D4D}</author>
  </authors>
  <commentList>
    <comment ref="F4" authorId="0">
      <text>
        <r>
          <t>还可以识别利润组成结构，利润是新品还是旧品贡献</t>
        </r>
      </text>
    </comment>
  </commentList>
</comments>
</file>

<file path=xl/comments2.xml><?xml version="1.0" encoding="utf-8"?>
<comments xmlns="http://schemas.openxmlformats.org/spreadsheetml/2006/main">
  <authors>
    <author>tc={FB5551B0-A8D1-4809-99C1-C54F3F512068}</author>
  </authors>
  <commentList>
    <comment ref="K6" authorId="0">
      <text>
        <r>
          <t>建议修改为结论，高增长高销额，评分还要算哪里出了问题</t>
        </r>
      </text>
    </comment>
  </commentList>
</comments>
</file>

<file path=xl/sharedStrings.xml><?xml version="1.0" encoding="utf-8"?>
<sst xmlns="http://schemas.openxmlformats.org/spreadsheetml/2006/main" count="129" uniqueCount="129">
  <si>
    <t/>
  </si>
  <si>
    <t>问题描述</t>
  </si>
  <si>
    <t>问题回复模板</t>
  </si>
  <si>
    <t>建议表格</t>
  </si>
  <si>
    <t>展示表格或图表</t>
  </si>
  <si>
    <t>核心字段</t>
  </si>
  <si>
    <t>展示重点</t>
  </si>
  <si>
    <t>SKU 销售规模如何？</t>
  </si>
  <si>
    <t>该 SKU 在【周期】内销售额为【金额】，销量为【数量】，分别占【品类/门店/渠道】的【比例】%；销售排名为【名次】，属于【核心/腰部/长尾】SKU。</t>
  </si>
  <si>
    <t>SKU 销售排名表</t>
  </si>
  <si>
    <t>帕累托图：展示哪些 SKU 贡献了 80% 的销售额或毛利额，用于识别核心 SKU。</t>
  </si>
  <si>
    <t>SKU、销售面积、销售额、销售占比、累计销售占比、排名</t>
  </si>
  <si>
    <t>用于识别头部与长尾 SKU</t>
  </si>
  <si>
    <t>SKU 销售趋势如何？</t>
  </si>
  <si>
    <t>该 SKU 销售额较【上期/去年同期】变化【百分比】%，整体呈【增长/稳定/下降】趋势。主要受【季节、促销、价格、流量、库存】影响。</t>
  </si>
  <si>
    <t>月度/周度销售趋势表</t>
  </si>
  <si>
    <t>折线图、同比双折线图</t>
  </si>
  <si>
    <t>时间、销售额、销售面积、同比、环比</t>
  </si>
  <si>
    <t>可增加促销及缺货事件标记</t>
  </si>
  <si>
    <t>SKU 毛利贡献如何？</t>
  </si>
  <si>
    <t>该 SKU 毛利额为【金额】，毛利率为【百分比】，与品类平均毛利率相比【高/低】【百分点】；毛利贡献占比为【百分比】。</t>
  </si>
  <si>
    <t>SKU 毛利贡献表</t>
  </si>
  <si>
    <t>SKU 效益四象限图：横轴为销售增长率，纵轴为毛利率，气泡大小代表销售额或库存金额。</t>
  </si>
  <si>
    <t>识别高销售低毛利商品</t>
  </si>
  <si>
    <t>SKU 库存周转效率如何？</t>
  </si>
  <si>
    <t>当前库存为【数量/金额】，库存周转天数为【天数】，较品类标准【高/低】【天数】；预计可销售【天数】，库存风险为【低/中/高】。</t>
  </si>
  <si>
    <t>库存周转分析表</t>
  </si>
  <si>
    <t>库存风险散点图：横轴为库存周转天数，纵轴为销售增长率，气泡大小代表库存金额</t>
  </si>
  <si>
    <t>当前库存、库存金额、周转次数、周转天数、库销比</t>
  </si>
  <si>
    <t>可快速识别高库存、低增长 SKU</t>
  </si>
  <si>
    <t>SKU 是否滞销或缺货？</t>
  </si>
  <si>
    <t>该 SKU 近【天数】天动销率为【百分比】，连续无销量【天数】天；同时缺货率为【百分比】。目前主要问题为【滞销/缺货/供需基本平衡】。</t>
  </si>
  <si>
    <t>库存健康诊断表</t>
  </si>
  <si>
    <t>供需风险四象限｜横轴：库存可售天数；纵轴：销售增长率；气泡：库存金额。另用堆叠柱展示正常、滞销</t>
  </si>
  <si>
    <t>按风险等级着色</t>
  </si>
  <si>
    <t>分析显示，该 SKU 销售中约【百分比】来自新增需求，约【百分比】替代了现有 SKU。其增量销售贡献为【金额/百分比】，内部蚕食程度为【低/中/高】。</t>
  </si>
  <si>
    <t>新增与替代贡献表</t>
  </si>
  <si>
    <t>增量瀑布图｜从新品销售额扣除替代销售额得到净增量；
辅以新增/替代构成堆叠柱。</t>
  </si>
  <si>
    <t>新增销售额（新品上线后品类销售额－若无新品时的基准销售额）、替代销售额（原有 SKU 基准销售额－新品上线后原有 SKU 实际销售额)、净增量销售额(新品销售额－替代销售额)、内部蚕食率(替代销售额 ÷ 新品销售额 × 100%)</t>
  </si>
  <si>
    <t>不同渠道或区域表现是否一致？</t>
  </si>
  <si>
    <t>该 SKU 在【渠道/区域 A】销售和毛利表现最佳，在【渠道/区域 B】表现较弱。差异主要来自【客群、定价、竞争、配送或门店位置】。</t>
  </si>
  <si>
    <t>渠道×SKU、
区域×SKU 透视表</t>
  </si>
  <si>
    <t>渠道/区域热力图：行为 SKU，列为渠道或区域，以颜色显示销售额、毛利率或增长率。
Top 渠道可用分组柱状图。</t>
  </si>
  <si>
    <t>渠道/区域、销售额、销售面积、毛利率、库存周转</t>
  </si>
  <si>
    <t>SKU 最终处置建议是什么？</t>
  </si>
  <si>
    <t>综合销售、毛利、库存、客户和战略价值，建议对该 SKU 采取【保留并加大投入/优化价格或成本/降低库存/限渠道销售/清仓淘汰】策略；预计可改善【指标】约【百分比或金额】。</t>
  </si>
  <si>
    <t>SKU 决策清单</t>
  </si>
  <si>
    <t>SKU 决策四象限图、决策分布环形图</t>
  </si>
  <si>
    <t>SKU库存跌价情况如何？</t>
  </si>
  <si>
    <t>该 SKU 在【库存分段】内跌价额为【金额】，周转【次数】次；分别占【库存分段】的【比例】%；销售排名为【名次】；</t>
  </si>
  <si>
    <t>SKU 跌价排名表</t>
  </si>
  <si>
    <t>条形图，库存分段（半年内，半年—一年，一年-两年，两年以上），对应跌价TOP10；</t>
  </si>
  <si>
    <t>SKU、库存金额，应计提的跌价准备，周转次数</t>
  </si>
  <si>
    <t>提前规划库存产品销售</t>
  </si>
  <si>
    <t>1. SKU 综合经营效益表</t>
  </si>
  <si>
    <t>用于管理层快速浏览和筛选问题 SKU。</t>
  </si>
  <si>
    <t>SKU</t>
  </si>
  <si>
    <t>品类</t>
  </si>
  <si>
    <t>销售额</t>
  </si>
  <si>
    <t>销售同比</t>
  </si>
  <si>
    <t>毛利额</t>
  </si>
  <si>
    <t>毛利率</t>
  </si>
  <si>
    <t>净利润</t>
  </si>
  <si>
    <t>ROI</t>
  </si>
  <si>
    <t>周转天数</t>
  </si>
  <si>
    <t>复购率</t>
  </si>
  <si>
    <t>综合评分</t>
  </si>
  <si>
    <t>建议</t>
  </si>
  <si>
    <t>SKU-A</t>
  </si>
  <si>
    <t>品类1</t>
  </si>
  <si>
    <t>加大投入</t>
  </si>
  <si>
    <t>SKU-B</t>
  </si>
  <si>
    <t>￥-5,000</t>
  </si>
  <si>
    <t>清理库存</t>
  </si>
  <si>
    <t>建议使用条件格式：</t>
  </si>
  <si>
    <t>绿色：达到或超过目标</t>
  </si>
  <si>
    <t>黄色：接近预警值</t>
  </si>
  <si>
    <t>红色：低于目标或存在风险</t>
  </si>
  <si>
    <t>灰色：数据不足或新品观察期</t>
  </si>
  <si>
    <t>2. SKU 全成本利润表</t>
  </si>
  <si>
    <t>适合回答净利润和 ROI 问题。</t>
  </si>
  <si>
    <t>销售收入</t>
  </si>
  <si>
    <t>商品成本</t>
  </si>
  <si>
    <t>平台佣金</t>
  </si>
  <si>
    <t>仓储物流</t>
  </si>
  <si>
    <t>营销费用</t>
  </si>
  <si>
    <t>售后成本</t>
  </si>
  <si>
    <t>净利率</t>
  </si>
  <si>
    <t>推荐配套使用“利润瀑布图”，直观展示销售收入如何逐步扣减为净利润。</t>
  </si>
  <si>
    <t>3. SKU 库存风险表</t>
  </si>
  <si>
    <t>当前库存</t>
  </si>
  <si>
    <t>库存金额</t>
  </si>
  <si>
    <t>近30天销量</t>
  </si>
  <si>
    <t>无销量天数</t>
  </si>
  <si>
    <t>缺货率</t>
  </si>
  <si>
    <t>风险等级</t>
  </si>
  <si>
    <t>低</t>
  </si>
  <si>
    <t>正常补货</t>
  </si>
  <si>
    <t>高</t>
  </si>
  <si>
    <t>清仓降库存</t>
  </si>
  <si>
    <t>4. SKU 综合决策表</t>
  </si>
  <si>
    <t>毛利额情况</t>
  </si>
  <si>
    <t>动销率</t>
  </si>
  <si>
    <t>库存周转次数</t>
  </si>
  <si>
    <t>综合结论</t>
  </si>
  <si>
    <t>处置策略</t>
  </si>
  <si>
    <t>高效益</t>
  </si>
  <si>
    <t>低效益</t>
  </si>
  <si>
    <t>清仓淘汰</t>
  </si>
  <si>
    <t>指标</t>
  </si>
  <si>
    <t>计算公式</t>
  </si>
  <si>
    <t>综合效益评分</t>
  </si>
  <si>
    <t>销售收入 × 25%＋毛利额情况 × 30%＋动销率 × 20%＋库存金额 × 15%＋库存周转 × 10%</t>
  </si>
  <si>
    <t>收入</t>
  </si>
  <si>
    <t>库存周转</t>
  </si>
  <si>
    <t>库存与销售
角度</t>
  </si>
  <si>
    <t>销售与周转
角度</t>
  </si>
  <si>
    <t>A</t>
  </si>
  <si>
    <t>库存黑洞</t>
  </si>
  <si>
    <t>高销高周</t>
  </si>
  <si>
    <t>？</t>
  </si>
  <si>
    <t>B</t>
  </si>
  <si>
    <t>库存正常</t>
  </si>
  <si>
    <t>低销高周</t>
  </si>
  <si>
    <r>
      <rPr>
        <rFont val="Microsoft YaHei"/>
        <b val="false"/>
        <i val="false"/>
        <strike val="false"/>
        <color rgb="FF000000"/>
        <sz val="10"/>
        <u val="none"/>
      </rPr>
      <t>销售额、毛利额、毛利率、</t>
    </r>
    <r>
      <rPr>
        <rFont val="Microsoft YaHei"/>
        <b val="true"/>
        <i val="false"/>
        <strike val="false"/>
        <color rgb="FFC00000"/>
        <sz val="10"/>
        <u val="none"/>
      </rPr>
      <t>毛利贡献占比(SKU 毛利额 ÷ 全部 SKU 毛利额 × 100%)</t>
    </r>
  </si>
  <si>
    <r>
      <rPr>
        <rFont val="Microsoft YaHei"/>
        <b val="true"/>
        <i val="false"/>
        <strike val="false"/>
        <color rgb="FFC00000"/>
        <sz val="10"/>
        <u val="none"/>
      </rPr>
      <t>动销率（有销量天数 ÷ 统计期天数 × 100%）</t>
    </r>
    <r>
      <rPr>
        <rFont val="Microsoft YaHei"/>
        <b val="false"/>
        <i val="false"/>
        <strike val="false"/>
        <color rgb="FF000000"/>
        <sz val="10"/>
        <u val="none"/>
      </rPr>
      <t>、无销售面积天数、</t>
    </r>
    <r>
      <rPr>
        <rFont val="Microsoft YaHei"/>
        <b val="true"/>
        <i val="false"/>
        <strike val="false"/>
        <color rgb="FFC00000"/>
        <sz val="10"/>
        <u val="none"/>
      </rPr>
      <t>滞销率（库销比&gt;60天的SKU数量÷总SKU数量）</t>
    </r>
  </si>
  <si>
    <r>
      <rPr>
        <rFont val="Microsoft YaHei"/>
        <b val="false"/>
        <i val="false"/>
        <strike val="false"/>
        <color rgb="FF000000"/>
        <sz val="10"/>
        <u val="none"/>
      </rPr>
      <t xml:space="preserve">SKU 是否带来新增销售？
</t>
    </r>
    <r>
      <rPr>
        <rFont val="Microsoft YaHei"/>
        <b val="true"/>
        <i val="false"/>
        <strike val="false"/>
        <color rgb="FFC00000"/>
        <sz val="10"/>
        <u val="none"/>
      </rPr>
      <t>（备注：可以考虑新品订货会时间上市的产品）</t>
    </r>
  </si>
  <si>
    <r>
      <rPr>
        <rFont val="Microsoft YaHei"/>
      </rPr>
      <t>综合得分、销售等级、利润等级、库存风险、战略价值、建议动作、责任人、完成时间</t>
    </r>
    <r>
      <rPr>
        <color rgb="FF267EF0"/>
        <u val="none"/>
      </rPr>
      <t>各类报表建议</t>
    </r>
  </si>
  <si>
    <r>
      <rPr>
        <b val="true"/>
        <i val="false"/>
        <strike val="false"/>
        <color rgb="FF2E75B6"/>
      </rPr>
      <t xml:space="preserve">口径提示 </t>
    </r>
    <r>
      <rPr>
        <b val="true"/>
        <i val="false"/>
        <strike val="false"/>
      </rPr>
      <t>示例决策阈值：≥80 且增长、净利润为正—加大投入；60–79—保留优化；40–59—调价降本；周转超标且销售下降—降库存；净利润为负且战略价值低—清仓淘汰。</t>
    </r>
  </si>
</sst>
</file>

<file path=xl/styles.xml><?xml version="1.0" encoding="utf-8"?>
<styleSheet xmlns="http://schemas.openxmlformats.org/spreadsheetml/2006/main">
  <numFmts count="1">
    <numFmt numFmtId="300" formatCode="&quot;￥&quot;#,##0;[Red]&quot;￥&quot;-#,##0"/>
  </numFmts>
  <fonts count="1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FFFFFF"/>
      <sz val="11"/>
    </font>
    <font>
      <name val="Microsoft YaHei"/>
      <sz val="10"/>
    </font>
    <font>
      <name val="Microsoft YaHei"/>
    </font>
    <font>
      <name val="Microsoft YaHei"/>
      <b val="true"/>
      <color rgb="FFC00000"/>
      <sz val="10"/>
    </font>
    <font>
      <name val="Microsoft YaHei"/>
      <sz val="11"/>
    </font>
    <font>
      <b val="true"/>
      <sz val="9"/>
    </font>
    <font>
      <sz val="9"/>
    </font>
    <font>
      <b val="true"/>
      <color rgb="FFFFFFFF"/>
      <sz val="8"/>
    </font>
    <font>
      <color rgb="FF222222"/>
      <sz val="8"/>
    </font>
    <font>
      <b val="true"/>
    </font>
    <font>
      <b val="false"/>
    </font>
  </fonts>
  <fills count="5">
    <fill>
      <patternFill patternType="none"/>
    </fill>
    <fill>
      <patternFill patternType="gray125"/>
    </fill>
    <fill>
      <patternFill patternType="solid">
        <fgColor rgb="FF485368"/>
      </patternFill>
    </fill>
    <fill>
      <patternFill patternType="solid">
        <fgColor rgb="FF1F4E78"/>
        <bgColor auto="true"/>
      </patternFill>
    </fill>
    <fill>
      <patternFill patternType="solid">
        <fgColor rgb="FF1F4E78"/>
        <bgColor auto="tru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>
    <xf numFmtId="0" fontId="0" fillId="0" borderId="0" xfId="0">
      <alignment vertical="center"/>
    </xf>
  </cellStyleXfs>
  <cellXfs count="2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wrapText="true"/>
    </xf>
    <xf numFmtId="0" fontId="4" fillId="0" borderId="1" xfId="0">
      <alignment vertical="center" wrapText="true"/>
    </xf>
    <xf numFmtId="0" fontId="5" fillId="0" borderId="1" xfId="0">
      <alignment vertical="center" wrapText="true"/>
    </xf>
    <xf fontId="4" fillId="0" borderId="1" xfId="0">
      <alignment vertical="center" wrapText="true"/>
    </xf>
    <xf numFmtId="0" fontId="6" fillId="0" borderId="1" xfId="0">
      <alignment vertical="center" wrapText="true"/>
    </xf>
    <xf fontId="7" fillId="0" borderId="0" xfId="0">
      <alignment vertical="center" wrapText="true"/>
    </xf>
    <xf numFmtId="0" fontId="8" fillId="0" borderId="0" xfId="0">
      <alignment vertical="center" textRotation="0"/>
    </xf>
    <xf fontId="9" fillId="0" borderId="0" xfId="0">
      <alignment vertical="center" textRotation="0"/>
    </xf>
    <xf numFmtId="0" fontId="9" fillId="0" borderId="0" xfId="0">
      <alignment vertical="center" textRotation="0"/>
    </xf>
    <xf numFmtId="0" fontId="8" fillId="0" borderId="0" xfId="0">
      <alignment horizontal="center" vertical="center" textRotation="0" wrapText="true"/>
    </xf>
    <xf numFmtId="0" fontId="8" fillId="0" borderId="0" xfId="0">
      <alignment horizontal="right" vertical="center" textRotation="0" wrapText="true"/>
    </xf>
    <xf numFmtId="0" fontId="9" fillId="0" borderId="0" xfId="0">
      <alignment vertical="center" textRotation="0" wrapText="true"/>
    </xf>
    <xf numFmtId="300" fontId="9" fillId="0" borderId="0" xfId="0">
      <alignment horizontal="right" vertical="center" textRotation="0" wrapText="true"/>
    </xf>
    <xf numFmtId="9" fontId="9" fillId="0" borderId="0" xfId="0">
      <alignment horizontal="right" vertical="center" textRotation="0" wrapText="true"/>
    </xf>
    <xf numFmtId="0" fontId="9" fillId="0" borderId="0" xfId="0">
      <alignment horizontal="right" vertical="center" textRotation="0" wrapText="true"/>
    </xf>
    <xf numFmtId="3" fontId="9" fillId="0" borderId="0" xfId="0">
      <alignment horizontal="right" vertical="center" textRotation="0" wrapText="true"/>
    </xf>
    <xf numFmtId="0" fontId="10" fillId="3" borderId="0" xfId="0">
      <alignment vertical="center"/>
    </xf>
    <xf numFmtId="0" fontId="10" fillId="4" borderId="0" xfId="0">
      <alignment vertical="center"/>
    </xf>
    <xf numFmtId="0" fontId="11" fillId="0" borderId="0" xfId="0">
      <alignment vertical="center"/>
    </xf>
    <xf fontId="12" fillId="0" borderId="0" xfId="0">
      <alignment vertical="center"/>
    </xf>
    <xf fontId="0" fillId="0" borderId="0" xfId="0">
      <alignment horizontal="center" vertical="center"/>
    </xf>
    <xf numFmtId="9" fontId="0" fillId="0" borderId="0" xfId="0">
      <alignment horizontal="center" vertical="center"/>
    </xf>
    <xf fontId="0" fillId="0" borderId="0" xfId="0">
      <alignment vertical="center" wrapText="true"/>
    </xf>
    <xf fontId="13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陈锐敏" id="{02434037-F7C8-4504-B200-4CBA82DEFD16}"/>
</tc2018:personList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F4" dT="2026-08-15T03:52:09Z" personId="{02434037-F7C8-4504-B200-4CBA82DEFD16}" id="{7E79E365-1A78-4E0A-9847-032384181D4D}">
    <tc2018:text>还可以识别利润组成结构，利润是新品还是旧品贡献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6" dT="2026-08-15T03:43:03Z" personId="{02434037-F7C8-4504-B200-4CBA82DEFD16}" id="{FB5551B0-A8D1-4809-99C1-C54F3F512068}">
    <tc2018:text>建议修改为结论，高增长高销额，评分还要算哪里出了问题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2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问答及展示框架"/>
  <dimension ref="F199"/>
  <sheetViews>
    <sheetView showGridLines="true" workbookViewId="0"/>
  </sheetViews>
  <cols>
    <col min="1" max="1" width="26.3828" style="9" customWidth="true"/>
    <col min="2" max="2" width="55.3008" style="9" customWidth="true"/>
    <col min="3" max="3" width="19.8242" style="9" customWidth="true"/>
    <col min="4" max="4" width="58.8125" style="9" customWidth="true"/>
    <col min="5" max="5" width="50.4414" style="9" customWidth="true"/>
    <col min="6" max="6" width="22.793" style="9" customWidth="true"/>
    <col min="7" max="26" width="13.6719" style="9"/>
  </cols>
  <sheetData>
    <row r="1" spans="1:6" ht="39.75" customHeigh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49.5" customHeight="true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49.5" customHeight="true">
      <c r="A3" s="5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</row>
    <row r="4" spans="1:6" ht="49.5" customHeight="true">
      <c r="A4" s="5" t="s">
        <v>19</v>
      </c>
      <c r="B4" s="5" t="s">
        <v>20</v>
      </c>
      <c r="C4" s="5" t="s">
        <v>21</v>
      </c>
      <c r="D4" s="5" t="s">
        <v>22</v>
      </c>
      <c r="E4" s="6" t="s">
        <v>124</v>
      </c>
      <c r="F4" s="5" t="s">
        <v>23</v>
      </c>
    </row>
    <row r="5" spans="1:6" ht="49.5" customHeight="true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7" t="s">
        <v>29</v>
      </c>
    </row>
    <row r="6" spans="1:6" ht="49.5" customHeight="true">
      <c r="A6" s="5" t="s">
        <v>30</v>
      </c>
      <c r="B6" s="5" t="s">
        <v>31</v>
      </c>
      <c r="C6" s="5" t="s">
        <v>32</v>
      </c>
      <c r="D6" s="5" t="s">
        <v>33</v>
      </c>
      <c r="E6" s="6" t="s">
        <v>125</v>
      </c>
      <c r="F6" s="5" t="s">
        <v>34</v>
      </c>
    </row>
    <row r="7" spans="1:6" ht="79.5" customHeight="true">
      <c r="A7" s="6" t="s">
        <v>126</v>
      </c>
      <c r="B7" s="5" t="s">
        <v>35</v>
      </c>
      <c r="C7" s="5" t="s">
        <v>36</v>
      </c>
      <c r="D7" s="5" t="s">
        <v>37</v>
      </c>
      <c r="E7" s="8" t="s">
        <v>38</v>
      </c>
      <c r="F7" s="7" t="s"/>
    </row>
    <row r="8" spans="1:6" ht="49.5" customHeight="true">
      <c r="A8" s="5" t="s">
        <v>39</v>
      </c>
      <c r="B8" s="5" t="s">
        <v>40</v>
      </c>
      <c r="C8" s="5" t="s">
        <v>41</v>
      </c>
      <c r="D8" s="5" t="s">
        <v>42</v>
      </c>
      <c r="E8" s="5" t="s">
        <v>43</v>
      </c>
      <c r="F8" s="7" t="s"/>
    </row>
    <row r="9" spans="1:6" ht="49.5" customHeight="true">
      <c r="A9" s="5" t="s">
        <v>44</v>
      </c>
      <c r="B9" s="5" t="s">
        <v>45</v>
      </c>
      <c r="C9" s="5" t="s">
        <v>46</v>
      </c>
      <c r="D9" s="5" t="s">
        <v>47</v>
      </c>
      <c r="E9" s="5" t="s">
        <v>127</v>
      </c>
      <c r="F9" s="7" t="s"/>
    </row>
    <row r="10" spans="1:26" ht="49.5" customHeight="true">
      <c r="A10" s="5" t="s">
        <v>48</v>
      </c>
      <c r="B10" s="5" t="s">
        <v>49</v>
      </c>
      <c r="C10" s="5" t="s">
        <v>50</v>
      </c>
      <c r="D10" s="5" t="s">
        <v>51</v>
      </c>
      <c r="E10" s="5" t="s">
        <v>52</v>
      </c>
      <c r="F10" s="7" t="s">
        <v>53</v>
      </c>
      <c r="G10" s="9" t="s"/>
      <c r="H10" s="9" t="s"/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</row>
    <row r="11" spans="1:6" ht="39.75" customHeight="true">
      <c r="A11" s="9" t="s"/>
      <c r="B11" s="9" t="s"/>
      <c r="C11" s="9" t="s"/>
      <c r="D11" s="9" t="s"/>
      <c r="E11" s="9" t="s"/>
      <c r="F11" s="9" t="s"/>
    </row>
    <row r="12" spans="1:6" ht="39.75" customHeight="true">
      <c r="A12" s="9" t="s"/>
      <c r="B12" s="9" t="s"/>
      <c r="C12" s="9" t="s"/>
      <c r="D12" s="9" t="s"/>
      <c r="E12" s="9" t="s"/>
      <c r="F12" s="9" t="s"/>
    </row>
    <row r="13" spans="1:6" ht="39.75" customHeight="true">
      <c r="A13" s="9" t="s"/>
      <c r="B13" s="9" t="s"/>
      <c r="C13" s="9" t="s"/>
      <c r="D13" s="9" t="s"/>
      <c r="E13" s="9" t="s"/>
      <c r="F13" s="9" t="s"/>
    </row>
    <row r="14" spans="1:26" ht="39.75" customHeight="true"/>
    <row r="15" spans="1:26" ht="39.75" customHeight="true"/>
    <row r="16" spans="1:26" ht="39.75" customHeight="true"/>
    <row r="17" spans="1:26" ht="39.75" customHeight="true"/>
    <row r="18" spans="1:26" ht="39.75" customHeight="true"/>
    <row r="19" spans="1:26" ht="39.75" customHeight="true"/>
    <row r="20" spans="1:26" ht="39.75" customHeight="true"/>
    <row r="21" spans="1:26" ht="39.75" customHeight="true"/>
    <row r="22" spans="1:26" ht="39.75" customHeight="true"/>
    <row r="23" spans="1:26" ht="39.75" customHeight="true"/>
    <row r="24" spans="1:26" ht="39.75" customHeight="true"/>
    <row r="25" spans="1:26" ht="39.75" customHeight="true"/>
    <row r="26" spans="1:26" ht="39.75" customHeight="true"/>
    <row r="27" spans="1:26" ht="39.75" customHeight="true"/>
    <row r="28" spans="1:26" ht="39.75" customHeight="true"/>
    <row r="29" spans="1:26" ht="39.75" customHeight="true"/>
    <row r="30" spans="1:26" ht="39.75" customHeight="true"/>
    <row r="31" spans="1:26" ht="39.75" customHeight="true"/>
    <row r="32" spans="1:26" ht="39.75" customHeight="true"/>
    <row r="33" spans="1:26" ht="39.75" customHeight="true"/>
    <row r="34" spans="1:26" ht="39.75" customHeight="true"/>
    <row r="35" spans="1:26" ht="39.75" customHeight="true"/>
    <row r="36" spans="1:26" ht="39.75" customHeight="true"/>
    <row r="37" spans="1:26" ht="39.75" customHeight="true"/>
    <row r="38" spans="1:26" ht="39.75" customHeight="true"/>
    <row r="39" spans="1:26" ht="39.75" customHeight="true"/>
    <row r="40" spans="1:26" ht="39.75" customHeight="true"/>
    <row r="41" spans="1:26" ht="39.75" customHeight="true"/>
    <row r="42" spans="1:26" ht="39.75" customHeight="true"/>
    <row r="43" spans="1:26" ht="39.75" customHeight="true"/>
    <row r="44" spans="1:26" ht="39.75" customHeight="true"/>
    <row r="45" spans="1:26" ht="39.75" customHeight="true"/>
    <row r="46" spans="1:26" ht="39.75" customHeight="true"/>
    <row r="47" spans="1:26" ht="39.75" customHeight="true"/>
    <row r="48" spans="1:26" ht="39.75" customHeight="true"/>
    <row r="49" spans="1:26" ht="39.75" customHeight="true"/>
    <row r="50" spans="1:26" ht="39.75" customHeight="true"/>
    <row r="51" spans="1:26" ht="39.75" customHeight="true"/>
    <row r="52" spans="1:26" ht="39.75" customHeight="true"/>
    <row r="53" spans="1:26" ht="39.75" customHeight="true"/>
    <row r="54" spans="1:26" ht="39.75" customHeight="true"/>
    <row r="55" spans="1:26" ht="39.75" customHeight="true"/>
    <row r="56" spans="1:26" ht="39.75" customHeight="true"/>
    <row r="57" spans="1:26" ht="39.75" customHeight="true"/>
    <row r="58" spans="1:26" ht="39.75" customHeight="true"/>
    <row r="59" spans="1:26" ht="39.75" customHeight="true"/>
    <row r="60" spans="1:26" ht="39.75" customHeight="true"/>
    <row r="61" spans="1:26" ht="39.75" customHeight="true"/>
    <row r="62" spans="1:26" ht="39.75" customHeight="true"/>
    <row r="63" spans="1:26" ht="39.75" customHeight="true"/>
    <row r="64" spans="1:26" ht="39.75" customHeight="true"/>
    <row r="65" spans="1:26" ht="39.75" customHeight="true"/>
    <row r="66" spans="1:26" ht="39.75" customHeight="true"/>
    <row r="67" spans="1:26" ht="39.75" customHeight="true"/>
    <row r="68" spans="1:26" ht="39.75" customHeight="true"/>
    <row r="69" spans="1:26" ht="39.75" customHeight="true"/>
    <row r="70" spans="1:26" ht="39.75" customHeight="true"/>
    <row r="71" spans="1:26" ht="39.75" customHeight="true"/>
    <row r="72" spans="1:26" ht="39.75" customHeight="true"/>
    <row r="73" spans="1:26" ht="39.75" customHeight="true"/>
    <row r="74" spans="1:26" ht="39.75" customHeight="true"/>
    <row r="75" spans="1:26" ht="39.75" customHeight="true"/>
    <row r="76" spans="1:26" ht="39.75" customHeight="true"/>
    <row r="77" spans="1:26" ht="39.75" customHeight="true"/>
    <row r="78" spans="1:26" ht="39.75" customHeight="true"/>
    <row r="79" spans="1:26" ht="39.75" customHeight="true"/>
    <row r="80" spans="1:26" ht="39.75" customHeight="true"/>
    <row r="81" spans="1:26" ht="39.75" customHeight="true"/>
    <row r="82" spans="1:26" ht="39.75" customHeight="true"/>
    <row r="83" spans="1:26" ht="39.75" customHeight="true"/>
    <row r="84" spans="1:26" ht="39.75" customHeight="true"/>
    <row r="85" spans="1:26" ht="39.75" customHeight="true"/>
    <row r="86" spans="1:26" ht="39.75" customHeight="true"/>
    <row r="87" spans="1:26" ht="39.75" customHeight="true"/>
    <row r="88" spans="1:26" ht="39.75" customHeight="true"/>
    <row r="89" spans="1:26" ht="39.75" customHeight="true"/>
    <row r="90" spans="1:26" ht="39.75" customHeight="true"/>
    <row r="91" spans="1:26" ht="39.75" customHeight="true"/>
    <row r="92" spans="1:26" ht="39.75" customHeight="true"/>
    <row r="93" spans="1:26" ht="39.75" customHeight="true"/>
    <row r="94" spans="1:26" ht="39.75" customHeight="true"/>
    <row r="95" spans="1:26" ht="39.75" customHeight="true"/>
    <row r="96" spans="1:26" ht="39.75" customHeight="true"/>
    <row r="97" spans="1:26" ht="39.75" customHeight="true"/>
    <row r="98" spans="1:26" ht="39.75" customHeight="true"/>
    <row r="99" spans="1:26" ht="39.75" customHeight="true"/>
    <row r="100" spans="1:26" ht="39.75" customHeight="true"/>
    <row r="101" spans="1:26" ht="39.75" customHeight="true"/>
    <row r="102" spans="1:26" ht="39.75" customHeight="true"/>
    <row r="103" spans="1:26" ht="39.75" customHeight="true"/>
    <row r="104" spans="1:26" ht="39.75" customHeight="true"/>
    <row r="105" spans="1:26" ht="39.75" customHeight="true"/>
    <row r="106" spans="1:26" ht="39.75" customHeight="true"/>
    <row r="107" spans="1:26" ht="39.75" customHeight="true"/>
    <row r="108" spans="1:26" ht="39.75" customHeight="true"/>
    <row r="109" spans="1:26" ht="39.75" customHeight="true"/>
    <row r="110" spans="1:26" ht="39.75" customHeight="true"/>
    <row r="111" spans="1:26" ht="39.75" customHeight="true"/>
    <row r="112" spans="1:26" ht="39.75" customHeight="true"/>
    <row r="113" spans="1:26" ht="39.75" customHeight="true"/>
    <row r="114" spans="1:26" ht="39.75" customHeight="true"/>
    <row r="115" spans="1:26" ht="39.75" customHeight="true"/>
    <row r="116" spans="1:26" ht="39.75" customHeight="true"/>
    <row r="117" spans="1:26" ht="39.75" customHeight="true"/>
    <row r="118" spans="1:26" ht="39.75" customHeight="true"/>
    <row r="119" spans="1:26" ht="39.75" customHeight="true"/>
    <row r="120" spans="1:26" ht="39.75" customHeight="true"/>
    <row r="121" spans="1:26" ht="39.75" customHeight="true"/>
    <row r="122" spans="1:26" ht="39.75" customHeight="true"/>
    <row r="123" spans="1:26" ht="39.75" customHeight="true"/>
    <row r="124" spans="1:26" ht="39.75" customHeight="true"/>
    <row r="125" spans="1:26" ht="39.75" customHeight="true"/>
    <row r="126" spans="1:26" ht="39.75" customHeight="true"/>
    <row r="127" spans="1:26" ht="39.75" customHeight="true"/>
    <row r="128" spans="1:26" ht="39.75" customHeight="true"/>
    <row r="129" spans="1:26" ht="39.75" customHeight="true"/>
    <row r="130" spans="1:26" ht="39.75" customHeight="true"/>
    <row r="131" spans="1:26" ht="39.75" customHeight="true"/>
    <row r="132" spans="1:26" ht="39.75" customHeight="true"/>
    <row r="133" spans="1:26" ht="39.75" customHeight="true"/>
    <row r="134" spans="1:26" ht="39.75" customHeight="true"/>
    <row r="135" spans="1:26" ht="39.75" customHeight="true"/>
    <row r="136" spans="1:26" ht="39.75" customHeight="true"/>
    <row r="137" spans="1:26" ht="39.75" customHeight="true"/>
    <row r="138" spans="1:26" ht="39.75" customHeight="true"/>
    <row r="139" spans="1:26" ht="39.75" customHeight="true"/>
    <row r="140" spans="1:26" ht="39.75" customHeight="true"/>
    <row r="141" spans="1:26" ht="39.75" customHeight="true"/>
    <row r="142" spans="1:26" ht="39.75" customHeight="true"/>
    <row r="143" spans="1:26" ht="39.75" customHeight="true"/>
    <row r="144" spans="1:26" ht="39.75" customHeight="true"/>
    <row r="145" spans="1:26" ht="39.75" customHeight="true"/>
    <row r="146" spans="1:26" ht="39.75" customHeight="true"/>
    <row r="147" spans="1:26" ht="39.75" customHeight="true"/>
    <row r="148" spans="1:26" ht="39.75" customHeight="true"/>
    <row r="149" spans="1:26" ht="39.75" customHeight="true"/>
    <row r="150" spans="1:26" ht="39.75" customHeight="true"/>
    <row r="151" spans="1:26" ht="39.75" customHeight="true"/>
    <row r="152" spans="1:26" ht="39.75" customHeight="true"/>
    <row r="153" spans="1:26" ht="39.75" customHeight="true"/>
    <row r="154" spans="1:26" ht="39.75" customHeight="true"/>
    <row r="155" spans="1:26" ht="39.75" customHeight="true"/>
    <row r="156" spans="1:26" ht="39.75" customHeight="true"/>
    <row r="157" spans="1:26" ht="39.75" customHeight="true"/>
    <row r="158" spans="1:26" ht="39.75" customHeight="true"/>
    <row r="159" spans="1:26" ht="39.75" customHeight="true"/>
    <row r="160" spans="1:26" ht="39.75" customHeight="true"/>
    <row r="161" spans="1:26" ht="39.75" customHeight="true"/>
    <row r="162" spans="1:26" ht="39.75" customHeight="true"/>
    <row r="163" spans="1:26" ht="39.75" customHeight="true"/>
    <row r="164" spans="1:26" ht="39.75" customHeight="true"/>
    <row r="165" spans="1:26" ht="39.75" customHeight="true"/>
    <row r="166" spans="1:26" ht="39.75" customHeight="true"/>
    <row r="167" spans="1:26" ht="39.75" customHeight="true"/>
    <row r="168" spans="1:26" ht="39.75" customHeight="true"/>
    <row r="169" spans="1:26" ht="39.75" customHeight="true"/>
    <row r="170" spans="1:26" ht="39.75" customHeight="true"/>
    <row r="171" spans="1:26" ht="39.75" customHeight="true"/>
    <row r="172" spans="1:26" ht="39.75" customHeight="true"/>
    <row r="173" spans="1:26" ht="39.75" customHeight="true"/>
    <row r="174" spans="1:26" ht="39.75" customHeight="true"/>
    <row r="175" spans="1:26" ht="39.75" customHeight="true"/>
    <row r="176" spans="1:26" ht="39.75" customHeight="true"/>
    <row r="177" spans="1:26" ht="39.75" customHeight="true"/>
    <row r="178" spans="1:26" ht="39.75" customHeight="true"/>
    <row r="179" spans="1:26" ht="39.75" customHeight="true"/>
    <row r="180" spans="1:26" ht="39.75" customHeight="true"/>
    <row r="181" spans="1:26" ht="39.75" customHeight="true"/>
    <row r="182" spans="1:26" ht="39.75" customHeight="true"/>
    <row r="183" spans="1:26" ht="39.75" customHeight="true"/>
    <row r="184" spans="1:26" ht="39.75" customHeight="true"/>
    <row r="185" spans="1:26" ht="39.75" customHeight="true"/>
    <row r="186" spans="1:26" ht="39.75" customHeight="true"/>
    <row r="187" spans="1:26" ht="39.75" customHeight="true"/>
    <row r="188" spans="1:26" ht="39.75" customHeight="true"/>
    <row r="189" spans="1:26" ht="39.75" customHeight="true"/>
    <row r="190" spans="1:26" ht="39.75" customHeight="true"/>
    <row r="191" spans="1:26" ht="39.75" customHeight="true"/>
    <row r="192" spans="1:26" ht="39.75" customHeight="true"/>
    <row r="193" spans="1:26" ht="39.75" customHeight="true"/>
    <row r="194" spans="1:26" ht="39.75" customHeight="true"/>
    <row r="195" spans="1:26" ht="39.75" customHeight="true"/>
    <row r="196" spans="1:26" ht="39.75" customHeight="true"/>
    <row r="197" spans="1:26" ht="39.75" customHeight="true"/>
    <row r="198" spans="1:26" ht="39.75" customHeight="true"/>
    <row r="199" spans="1:26" ht="39.75" customHeight="true"/>
  </sheetData>
  <hyperlinks>
    <hyperlink ref="E9" location="'各类报表建议'!A1"/>
  </hyperlinks>
  <legacy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各类报表建议">
    <tabColor/>
  </sheetPr>
  <dimension ref="F50"/>
  <sheetViews>
    <sheetView showGridLines="false" workbookViewId="0"/>
  </sheetViews>
  <sheetFormatPr baseColWidth="13" defaultRowHeight="18" customHeight="true"/>
  <cols>
    <col min="1" max="1" width="9.71094" customWidth="true"/>
    <col min="2" max="2" width="11.7109" customWidth="true"/>
    <col min="3" max="3" width="11.7109" customWidth="true"/>
    <col min="4" max="4" width="10.7109" customWidth="true"/>
    <col min="5" max="5" width="11.7109" customWidth="true"/>
    <col min="6" max="6" width="11.4609" customWidth="true"/>
    <col min="7" max="8" width="10.7109" customWidth="true"/>
    <col min="9" max="13" width="9.71094" customWidth="true"/>
  </cols>
  <sheetData>
    <row r="1" spans="1:13">
      <c r="A1" s="10" t="s">
        <v>54</v>
      </c>
      <c r="B1" s="11" t="s"/>
      <c r="C1" s="11" t="s"/>
      <c r="D1" s="11" t="s"/>
      <c r="E1" s="11" t="s"/>
      <c r="F1" s="11" t="s"/>
      <c r="G1" s="11" t="s"/>
      <c r="H1" s="11" t="s"/>
      <c r="I1" s="11" t="s"/>
      <c r="J1" s="11" t="s"/>
      <c r="K1" s="11" t="s"/>
      <c r="L1" s="11" t="s"/>
      <c r="M1" s="11" t="s"/>
    </row>
    <row r="2" spans="1:13">
      <c r="A2" s="11" t="s"/>
      <c r="B2" s="11" t="s"/>
      <c r="C2" s="11" t="s"/>
      <c r="D2" s="11" t="s"/>
      <c r="E2" s="11" t="s"/>
      <c r="F2" s="11" t="s"/>
      <c r="G2" s="11" t="s"/>
      <c r="H2" s="11" t="s"/>
      <c r="I2" s="11" t="s"/>
      <c r="J2" s="11" t="s"/>
      <c r="K2" s="11" t="s"/>
      <c r="L2" s="11" t="s"/>
      <c r="M2" s="11" t="s"/>
    </row>
    <row r="3" spans="1:13">
      <c r="A3" s="12" t="s">
        <v>55</v>
      </c>
      <c r="B3" s="11" t="s"/>
      <c r="C3" s="11" t="s"/>
      <c r="D3" s="11" t="s"/>
      <c r="E3" s="11" t="s"/>
      <c r="F3" s="11" t="s"/>
      <c r="G3" s="11" t="s"/>
      <c r="H3" s="11" t="s"/>
      <c r="I3" s="11" t="s"/>
      <c r="J3" s="11" t="s"/>
      <c r="K3" s="11" t="s"/>
      <c r="L3" s="11" t="s"/>
      <c r="M3" s="11" t="s"/>
    </row>
    <row r="4" spans="1:13">
      <c r="A4" s="11" t="s"/>
      <c r="B4" s="11" t="s"/>
      <c r="C4" s="11" t="s"/>
      <c r="D4" s="11" t="s"/>
      <c r="E4" s="11" t="s"/>
      <c r="F4" s="11" t="s"/>
      <c r="G4" s="11" t="s"/>
      <c r="H4" s="11" t="s"/>
      <c r="I4" s="11" t="s"/>
      <c r="J4" s="11" t="s"/>
      <c r="K4" s="11" t="s"/>
      <c r="L4" s="11" t="s"/>
      <c r="M4" s="11" t="s"/>
    </row>
    <row r="5" spans="1:13">
      <c r="A5" s="13" t="s">
        <v>56</v>
      </c>
      <c r="B5" s="13" t="s">
        <v>57</v>
      </c>
      <c r="C5" s="14" t="s">
        <v>58</v>
      </c>
      <c r="D5" s="14" t="s">
        <v>59</v>
      </c>
      <c r="E5" s="14" t="s">
        <v>60</v>
      </c>
      <c r="F5" s="14" t="s">
        <v>61</v>
      </c>
      <c r="G5" s="14" t="s">
        <v>62</v>
      </c>
      <c r="H5" s="14" t="s">
        <v>63</v>
      </c>
      <c r="I5" s="14" t="s">
        <v>64</v>
      </c>
      <c r="J5" s="14" t="s">
        <v>65</v>
      </c>
      <c r="K5" s="14" t="s">
        <v>66</v>
      </c>
      <c r="L5" s="13" t="s">
        <v>67</v>
      </c>
      <c r="M5" s="11" t="s"/>
    </row>
    <row r="6" spans="1:13">
      <c r="A6" s="15" t="s">
        <v>68</v>
      </c>
      <c r="B6" s="15" t="s">
        <v>69</v>
      </c>
      <c r="C6" s="16">
        <v>500000</v>
      </c>
      <c r="D6" s="17">
        <v>0.15</v>
      </c>
      <c r="E6" s="16">
        <v>150000</v>
      </c>
      <c r="F6" s="17">
        <v>0.3</v>
      </c>
      <c r="G6" s="16">
        <v>80000</v>
      </c>
      <c r="H6" s="18">
        <v>2.8</v>
      </c>
      <c r="I6" s="18">
        <v>35</v>
      </c>
      <c r="J6" s="17">
        <v>0.24</v>
      </c>
      <c r="K6" s="18">
        <v>88</v>
      </c>
      <c r="L6" s="15" t="s">
        <v>70</v>
      </c>
      <c r="M6" s="11" t="s"/>
    </row>
    <row r="7" spans="1:13">
      <c r="A7" s="15" t="s">
        <v>71</v>
      </c>
      <c r="B7" s="15" t="s">
        <v>69</v>
      </c>
      <c r="C7" s="16">
        <v>200000</v>
      </c>
      <c r="D7" s="17">
        <v>-0.12</v>
      </c>
      <c r="E7" s="16">
        <v>30000</v>
      </c>
      <c r="F7" s="17">
        <v>0.15</v>
      </c>
      <c r="G7" s="16" t="s">
        <v>72</v>
      </c>
      <c r="H7" s="18">
        <v>0.8</v>
      </c>
      <c r="I7" s="18">
        <v>120</v>
      </c>
      <c r="J7" s="17">
        <v>0.08</v>
      </c>
      <c r="K7" s="18">
        <v>42</v>
      </c>
      <c r="L7" s="15" t="s">
        <v>73</v>
      </c>
      <c r="M7" s="11" t="s"/>
    </row>
    <row r="8" spans="1:13">
      <c r="A8" s="11" t="s"/>
      <c r="B8" s="11" t="s"/>
      <c r="C8" s="11" t="s"/>
      <c r="D8" s="11" t="s"/>
      <c r="E8" s="11" t="s"/>
      <c r="F8" s="11" t="s"/>
      <c r="G8" s="11" t="s"/>
      <c r="H8" s="11" t="s"/>
      <c r="I8" s="11" t="s"/>
      <c r="J8" s="11" t="s"/>
      <c r="K8" s="11" t="s"/>
      <c r="L8" s="11" t="s"/>
      <c r="M8" s="11" t="s"/>
    </row>
    <row r="9" spans="1:13">
      <c r="A9" s="12" t="s">
        <v>74</v>
      </c>
      <c r="B9" s="11" t="s"/>
      <c r="C9" s="11" t="s"/>
      <c r="D9" s="11" t="s"/>
      <c r="E9" s="11" t="s"/>
      <c r="F9" s="11" t="s"/>
      <c r="G9" s="11" t="s"/>
      <c r="H9" s="11" t="s"/>
      <c r="I9" s="11" t="s"/>
      <c r="J9" s="11" t="s"/>
      <c r="K9" s="11" t="s"/>
      <c r="L9" s="11" t="s"/>
      <c r="M9" s="11" t="s"/>
    </row>
    <row r="10" spans="1:13">
      <c r="A10" s="11" t="s"/>
      <c r="B10" s="11" t="s"/>
      <c r="C10" s="11" t="s"/>
      <c r="D10" s="11" t="s"/>
      <c r="E10" s="11" t="s"/>
      <c r="F10" s="11" t="s"/>
      <c r="G10" s="11" t="s"/>
      <c r="H10" s="11" t="s"/>
      <c r="I10" s="11" t="s"/>
      <c r="J10" s="11" t="s"/>
      <c r="K10" s="11" t="s"/>
      <c r="L10" s="11" t="s"/>
      <c r="M10" s="11" t="s"/>
    </row>
    <row r="11" spans="1:13">
      <c r="A11" s="12" t="s">
        <v>75</v>
      </c>
      <c r="B11" s="11" t="s"/>
      <c r="C11" s="11" t="s"/>
      <c r="D11" s="11" t="s"/>
      <c r="E11" s="11" t="s"/>
      <c r="F11" s="11" t="s"/>
      <c r="G11" s="11" t="s"/>
      <c r="H11" s="11" t="s"/>
      <c r="I11" s="11" t="s"/>
      <c r="J11" s="11" t="s"/>
      <c r="K11" s="11" t="s"/>
      <c r="L11" s="11" t="s"/>
      <c r="M11" s="11" t="s"/>
    </row>
    <row r="12" spans="1:13">
      <c r="A12" s="12" t="s">
        <v>76</v>
      </c>
      <c r="B12" s="11" t="s"/>
      <c r="C12" s="11" t="s"/>
      <c r="D12" s="11" t="s"/>
      <c r="E12" s="11" t="s"/>
      <c r="F12" s="11" t="s"/>
      <c r="G12" s="11" t="s"/>
      <c r="H12" s="11" t="s"/>
      <c r="I12" s="11" t="s"/>
      <c r="J12" s="11" t="s"/>
      <c r="K12" s="11" t="s"/>
      <c r="L12" s="11" t="s"/>
      <c r="M12" s="11" t="s"/>
    </row>
    <row r="13" spans="1:13">
      <c r="A13" s="12" t="s">
        <v>77</v>
      </c>
      <c r="B13" s="11" t="s"/>
      <c r="C13" s="11" t="s"/>
      <c r="D13" s="11" t="s"/>
      <c r="E13" s="11" t="s"/>
      <c r="F13" s="11" t="s"/>
      <c r="G13" s="11" t="s"/>
      <c r="H13" s="11" t="s"/>
      <c r="I13" s="11" t="s"/>
      <c r="J13" s="11" t="s"/>
      <c r="K13" s="11" t="s"/>
      <c r="L13" s="11" t="s"/>
      <c r="M13" s="11" t="s"/>
    </row>
    <row r="14" spans="1:13">
      <c r="A14" s="12" t="s">
        <v>78</v>
      </c>
      <c r="B14" s="11" t="s"/>
      <c r="C14" s="11" t="s"/>
      <c r="D14" s="11" t="s"/>
      <c r="E14" s="11" t="s"/>
      <c r="F14" s="11" t="s"/>
      <c r="G14" s="11" t="s"/>
      <c r="H14" s="11" t="s"/>
      <c r="I14" s="11" t="s"/>
      <c r="J14" s="11" t="s"/>
      <c r="K14" s="11" t="s"/>
      <c r="L14" s="11" t="s"/>
      <c r="M14" s="11" t="s"/>
    </row>
    <row r="15" spans="1:13">
      <c r="A15" s="11" t="s"/>
      <c r="B15" s="11" t="s"/>
      <c r="C15" s="11" t="s"/>
      <c r="D15" s="11" t="s"/>
      <c r="E15" s="11" t="s"/>
      <c r="F15" s="11" t="s"/>
      <c r="G15" s="11" t="s"/>
      <c r="H15" s="11" t="s"/>
      <c r="I15" s="11" t="s"/>
      <c r="J15" s="11" t="s"/>
      <c r="K15" s="11" t="s"/>
      <c r="L15" s="11" t="s"/>
      <c r="M15" s="11" t="s"/>
    </row>
    <row r="16" spans="1:13">
      <c r="A16" s="10" t="s">
        <v>79</v>
      </c>
      <c r="B16" s="11" t="s"/>
      <c r="C16" s="11" t="s"/>
      <c r="D16" s="11" t="s"/>
      <c r="E16" s="11" t="s"/>
      <c r="F16" s="11" t="s"/>
      <c r="G16" s="11" t="s"/>
      <c r="H16" s="11" t="s"/>
      <c r="I16" s="11" t="s"/>
      <c r="J16" s="11" t="s"/>
      <c r="K16" s="11" t="s"/>
      <c r="L16" s="11" t="s"/>
      <c r="M16" s="11" t="s"/>
    </row>
    <row r="17" spans="1:13">
      <c r="A17" s="11" t="s"/>
      <c r="B17" s="11" t="s"/>
      <c r="C17" s="11" t="s"/>
      <c r="D17" s="11" t="s"/>
      <c r="E17" s="11" t="s"/>
      <c r="F17" s="11" t="s"/>
      <c r="G17" s="11" t="s"/>
      <c r="H17" s="11" t="s"/>
      <c r="I17" s="11" t="s"/>
      <c r="J17" s="11" t="s"/>
      <c r="K17" s="11" t="s"/>
      <c r="L17" s="11" t="s"/>
      <c r="M17" s="11" t="s"/>
    </row>
    <row r="18" spans="1:13">
      <c r="A18" s="12" t="s">
        <v>80</v>
      </c>
      <c r="B18" s="11" t="s"/>
      <c r="C18" s="11" t="s"/>
      <c r="D18" s="11" t="s"/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</row>
    <row r="19" spans="1:13">
      <c r="A19" s="11" t="s"/>
      <c r="B19" s="11" t="s"/>
      <c r="C19" s="11" t="s"/>
      <c r="D19" s="11" t="s"/>
      <c r="E19" s="11" t="s"/>
      <c r="F19" s="11" t="s"/>
      <c r="G19" s="11" t="s"/>
      <c r="H19" s="11" t="s"/>
      <c r="I19" s="11" t="s"/>
      <c r="J19" s="11" t="s"/>
      <c r="K19" s="11" t="s"/>
      <c r="L19" s="11" t="s"/>
      <c r="M19" s="11" t="s"/>
    </row>
    <row r="20" spans="1:13">
      <c r="A20" s="13" t="s">
        <v>56</v>
      </c>
      <c r="B20" s="14" t="s">
        <v>81</v>
      </c>
      <c r="C20" s="14" t="s">
        <v>82</v>
      </c>
      <c r="D20" s="14" t="s">
        <v>83</v>
      </c>
      <c r="E20" s="14" t="s">
        <v>84</v>
      </c>
      <c r="F20" s="14" t="s">
        <v>85</v>
      </c>
      <c r="G20" s="14" t="s">
        <v>86</v>
      </c>
      <c r="H20" s="14" t="s">
        <v>62</v>
      </c>
      <c r="I20" s="14" t="s">
        <v>87</v>
      </c>
      <c r="J20" s="11" t="s"/>
      <c r="K20" s="11" t="s"/>
      <c r="L20" s="11" t="s"/>
      <c r="M20" s="11" t="s"/>
    </row>
    <row r="21" spans="1:13">
      <c r="A21" s="15" t="s">
        <v>68</v>
      </c>
      <c r="B21" s="16">
        <v>500000</v>
      </c>
      <c r="C21" s="16">
        <v>280000</v>
      </c>
      <c r="D21" s="16">
        <v>25000</v>
      </c>
      <c r="E21" s="16">
        <v>40000</v>
      </c>
      <c r="F21" s="16">
        <v>55000</v>
      </c>
      <c r="G21" s="16">
        <v>20000</v>
      </c>
      <c r="H21" s="16">
        <v>80000</v>
      </c>
      <c r="I21" s="17">
        <v>0.16</v>
      </c>
      <c r="J21" s="11" t="s"/>
      <c r="K21" s="11" t="s"/>
      <c r="L21" s="11" t="s"/>
      <c r="M21" s="11" t="s"/>
    </row>
    <row r="22" spans="1:13">
      <c r="A22" s="11" t="s"/>
      <c r="B22" s="11" t="s"/>
      <c r="C22" s="11" t="s"/>
      <c r="D22" s="11" t="s"/>
      <c r="E22" s="11" t="s"/>
      <c r="F22" s="11" t="s"/>
      <c r="G22" s="11" t="s"/>
      <c r="H22" s="11" t="s"/>
      <c r="I22" s="11" t="s"/>
      <c r="J22" s="11" t="s"/>
      <c r="K22" s="11" t="s"/>
      <c r="L22" s="11" t="s"/>
      <c r="M22" s="11" t="s"/>
    </row>
    <row r="23" spans="1:13">
      <c r="A23" s="12" t="s">
        <v>88</v>
      </c>
      <c r="B23" s="11" t="s"/>
      <c r="C23" s="11" t="s"/>
      <c r="D23" s="11" t="s"/>
      <c r="E23" s="11" t="s"/>
      <c r="F23" s="11" t="s"/>
      <c r="G23" s="11" t="s"/>
      <c r="H23" s="11" t="s"/>
      <c r="I23" s="11" t="s"/>
      <c r="J23" s="11" t="s"/>
      <c r="K23" s="11" t="s"/>
      <c r="L23" s="11" t="s"/>
      <c r="M23" s="11" t="s"/>
    </row>
    <row r="24" spans="1:13">
      <c r="A24" s="11" t="s"/>
      <c r="B24" s="11" t="s"/>
      <c r="C24" s="11" t="s"/>
      <c r="D24" s="11" t="s"/>
      <c r="E24" s="11" t="s"/>
      <c r="F24" s="11" t="s"/>
      <c r="G24" s="11" t="s"/>
      <c r="H24" s="11" t="s"/>
      <c r="I24" s="11" t="s"/>
      <c r="J24" s="11" t="s"/>
      <c r="K24" s="11" t="s"/>
      <c r="L24" s="11" t="s"/>
      <c r="M24" s="11" t="s"/>
    </row>
    <row r="25" spans="1:13">
      <c r="A25" s="10" t="s">
        <v>89</v>
      </c>
      <c r="B25" s="11" t="s"/>
      <c r="C25" s="11" t="s"/>
      <c r="D25" s="11" t="s"/>
      <c r="E25" s="11" t="s"/>
      <c r="F25" s="11" t="s"/>
      <c r="G25" s="11" t="s"/>
      <c r="H25" s="11" t="s"/>
      <c r="I25" s="11" t="s"/>
      <c r="J25" s="11" t="s"/>
      <c r="K25" s="11" t="s"/>
      <c r="L25" s="11" t="s"/>
      <c r="M25" s="11" t="s"/>
    </row>
    <row r="26" spans="1:13">
      <c r="A26" s="11" t="s"/>
      <c r="B26" s="11" t="s"/>
      <c r="C26" s="11" t="s"/>
      <c r="D26" s="11" t="s"/>
      <c r="E26" s="11" t="s"/>
      <c r="F26" s="11" t="s"/>
      <c r="G26" s="11" t="s"/>
      <c r="H26" s="11" t="s"/>
      <c r="I26" s="11" t="s"/>
      <c r="J26" s="11" t="s"/>
      <c r="K26" s="11" t="s"/>
      <c r="L26" s="11" t="s"/>
      <c r="M26" s="11" t="s"/>
    </row>
    <row r="27" spans="1:13">
      <c r="A27" s="13" t="s">
        <v>56</v>
      </c>
      <c r="B27" s="14" t="s">
        <v>90</v>
      </c>
      <c r="C27" s="14" t="s">
        <v>91</v>
      </c>
      <c r="D27" s="14" t="s">
        <v>92</v>
      </c>
      <c r="E27" s="14" t="s">
        <v>64</v>
      </c>
      <c r="F27" s="14" t="s">
        <v>93</v>
      </c>
      <c r="G27" s="14" t="s">
        <v>94</v>
      </c>
      <c r="H27" s="13" t="s">
        <v>95</v>
      </c>
      <c r="I27" s="13" t="s">
        <v>67</v>
      </c>
      <c r="J27" s="11" t="s"/>
      <c r="K27" s="11" t="s"/>
      <c r="L27" s="11" t="s"/>
      <c r="M27" s="11" t="s"/>
    </row>
    <row r="28" spans="1:13">
      <c r="A28" s="15" t="s">
        <v>68</v>
      </c>
      <c r="B28" s="19">
        <v>1200</v>
      </c>
      <c r="C28" s="16">
        <v>120000</v>
      </c>
      <c r="D28" s="18">
        <v>900</v>
      </c>
      <c r="E28" s="18">
        <v>40</v>
      </c>
      <c r="F28" s="18">
        <v>0</v>
      </c>
      <c r="G28" s="17">
        <v>0.03</v>
      </c>
      <c r="H28" s="15" t="s">
        <v>96</v>
      </c>
      <c r="I28" s="15" t="s">
        <v>97</v>
      </c>
      <c r="J28" s="11" t="s"/>
      <c r="K28" s="11" t="s"/>
      <c r="L28" s="11" t="s"/>
      <c r="M28" s="11" t="s"/>
    </row>
    <row r="29" spans="1:13">
      <c r="A29" s="15" t="s">
        <v>71</v>
      </c>
      <c r="B29" s="19">
        <v>2500</v>
      </c>
      <c r="C29" s="16">
        <v>300000</v>
      </c>
      <c r="D29" s="18">
        <v>300</v>
      </c>
      <c r="E29" s="18">
        <v>250</v>
      </c>
      <c r="F29" s="18">
        <v>18</v>
      </c>
      <c r="G29" s="17">
        <v>0</v>
      </c>
      <c r="H29" s="15" t="s">
        <v>98</v>
      </c>
      <c r="I29" s="15" t="s">
        <v>99</v>
      </c>
      <c r="J29" s="11" t="s"/>
      <c r="K29" s="11" t="s"/>
      <c r="L29" s="11" t="s"/>
      <c r="M29" s="11" t="s"/>
    </row>
    <row r="30" spans="1:13">
      <c r="A30" s="11" t="s"/>
      <c r="B30" s="11" t="s"/>
      <c r="C30" s="11" t="s"/>
      <c r="D30" s="11" t="s"/>
      <c r="E30" s="11" t="s"/>
      <c r="F30" s="11" t="s"/>
      <c r="G30" s="11" t="s"/>
      <c r="H30" s="11" t="s"/>
      <c r="I30" s="11" t="s"/>
      <c r="J30" s="11" t="s"/>
      <c r="K30" s="11" t="s"/>
      <c r="L30" s="11" t="s"/>
      <c r="M30" s="11" t="s"/>
    </row>
    <row r="31" spans="1:13">
      <c r="A31" s="11" t="s"/>
      <c r="B31" s="11" t="s"/>
      <c r="C31" s="11" t="s"/>
      <c r="D31" s="11" t="s"/>
      <c r="E31" s="11" t="s"/>
      <c r="F31" s="11" t="s"/>
      <c r="G31" s="11" t="s"/>
      <c r="H31" s="11" t="s"/>
      <c r="I31" s="11" t="s"/>
      <c r="J31" s="11" t="s"/>
      <c r="K31" s="11" t="s"/>
      <c r="L31" s="11" t="s"/>
      <c r="M31" s="11" t="s"/>
    </row>
    <row r="32" spans="1:13">
      <c r="A32" s="10" t="s">
        <v>100</v>
      </c>
      <c r="B32" s="11" t="s"/>
      <c r="C32" s="11" t="s"/>
      <c r="D32" s="11" t="s"/>
      <c r="E32" s="11" t="s"/>
      <c r="F32" s="11" t="s"/>
      <c r="G32" s="11" t="s"/>
      <c r="H32" s="11" t="s"/>
      <c r="I32" s="11" t="s"/>
      <c r="J32" s="11" t="s"/>
      <c r="K32" s="11" t="s"/>
      <c r="L32" s="11" t="s"/>
      <c r="M32" s="11" t="s"/>
    </row>
    <row r="33" spans="1:13">
      <c r="A33" s="11" t="s"/>
      <c r="B33" s="11" t="s"/>
      <c r="C33" s="11" t="s"/>
      <c r="D33" s="11" t="s"/>
      <c r="E33" s="11" t="s"/>
      <c r="F33" s="11" t="s"/>
      <c r="G33" s="11" t="s"/>
      <c r="H33" s="11" t="s"/>
      <c r="I33" s="11" t="s"/>
      <c r="J33" s="11" t="s"/>
      <c r="K33" s="11" t="s"/>
      <c r="L33" s="11" t="s"/>
      <c r="M33" s="11" t="s"/>
    </row>
    <row r="34" spans="1:13">
      <c r="A34" s="13" t="s">
        <v>56</v>
      </c>
      <c r="B34" s="14" t="s">
        <v>81</v>
      </c>
      <c r="C34" s="14" t="s">
        <v>101</v>
      </c>
      <c r="D34" s="14" t="s">
        <v>102</v>
      </c>
      <c r="E34" s="14" t="s">
        <v>91</v>
      </c>
      <c r="F34" s="14" t="s">
        <v>103</v>
      </c>
      <c r="G34" s="13" t="s">
        <v>104</v>
      </c>
      <c r="H34" s="13" t="s">
        <v>105</v>
      </c>
      <c r="I34" s="11" t="s"/>
      <c r="J34" s="11" t="s"/>
      <c r="K34" s="11" t="s"/>
      <c r="L34" s="11" t="s"/>
      <c r="M34" s="11" t="s"/>
    </row>
    <row r="35" spans="1:13">
      <c r="A35" s="15" t="s">
        <v>68</v>
      </c>
      <c r="B35" s="18">
        <v>90</v>
      </c>
      <c r="C35" s="18">
        <v>85</v>
      </c>
      <c r="D35" s="17">
        <v>0.85</v>
      </c>
      <c r="E35" s="18">
        <v>80</v>
      </c>
      <c r="F35" s="18">
        <v>4.6</v>
      </c>
      <c r="G35" s="15" t="s">
        <v>106</v>
      </c>
      <c r="H35" s="15" t="s">
        <v>70</v>
      </c>
      <c r="I35" s="11" t="s"/>
      <c r="J35" s="11" t="s"/>
      <c r="K35" s="11" t="s"/>
      <c r="L35" s="11" t="s"/>
      <c r="M35" s="11" t="s"/>
    </row>
    <row r="36" spans="1:13">
      <c r="A36" s="15" t="s">
        <v>71</v>
      </c>
      <c r="B36" s="18">
        <v>45</v>
      </c>
      <c r="C36" s="18">
        <v>30</v>
      </c>
      <c r="D36" s="17">
        <v>0.4</v>
      </c>
      <c r="E36" s="18">
        <v>80</v>
      </c>
      <c r="F36" s="18">
        <v>2.23</v>
      </c>
      <c r="G36" s="15" t="s">
        <v>107</v>
      </c>
      <c r="H36" s="15" t="s">
        <v>108</v>
      </c>
      <c r="I36" s="11" t="s"/>
      <c r="J36" s="11" t="s"/>
      <c r="K36" s="11" t="s"/>
      <c r="L36" s="11" t="s"/>
      <c r="M36" s="11" t="s"/>
    </row>
    <row r="38" spans="1:8">
      <c r="A38" s="20" t="s">
        <v>109</v>
      </c>
      <c r="B38" s="20" t="s">
        <v>110</v>
      </c>
      <c r="C38" s="21" t="s"/>
      <c r="D38" s="21" t="s"/>
      <c r="E38" s="21" t="s"/>
      <c r="F38" s="21" t="s"/>
      <c r="G38" s="21" t="s"/>
      <c r="H38" s="21" t="s"/>
    </row>
    <row r="39" spans="1:2">
      <c r="A39" s="22" t="s">
        <v>111</v>
      </c>
      <c r="B39" s="22" t="s">
        <v>112</v>
      </c>
    </row>
    <row r="41" spans="1:1">
      <c r="A41" s="23" t="s">
        <v>128</v>
      </c>
    </row>
    <row r="42" spans="1:6">
      <c r="A42" s="24" t="s"/>
      <c r="B42" s="25" t="s"/>
      <c r="C42" s="25" t="s"/>
      <c r="D42" s="25" t="s"/>
      <c r="E42" s="25" t="s"/>
      <c r="F42" s="25" t="s"/>
    </row>
    <row r="43" spans="1:6">
      <c r="A43" s="24" t="s"/>
      <c r="B43" s="25">
        <v>0.25</v>
      </c>
      <c r="C43" s="25">
        <v>0.3</v>
      </c>
      <c r="D43" s="25">
        <v>0.2</v>
      </c>
      <c r="E43" s="25">
        <v>0.15</v>
      </c>
      <c r="F43" s="25">
        <v>0.1</v>
      </c>
    </row>
    <row r="44" spans="1:9">
      <c r="A44" s="24" t="s"/>
      <c r="B44" s="24" t="s">
        <v>113</v>
      </c>
      <c r="C44" s="24" t="s">
        <v>60</v>
      </c>
      <c r="D44" s="24" t="s">
        <v>102</v>
      </c>
      <c r="E44" s="24" t="s">
        <v>91</v>
      </c>
      <c r="F44" s="24" t="s">
        <v>114</v>
      </c>
      <c r="G44" s="26" t="s">
        <v>115</v>
      </c>
      <c r="H44" s="26" t="s">
        <v>116</v>
      </c>
      <c r="I44" t="s">
        <v>104</v>
      </c>
    </row>
    <row r="45" spans="1:9">
      <c r="A45" s="24" t="s">
        <v>117</v>
      </c>
      <c r="B45" s="24">
        <v>1000</v>
      </c>
      <c r="C45" s="24">
        <v>300</v>
      </c>
      <c r="D45" s="24">
        <f>=B45/E45</f>
        <v>0.25</v>
      </c>
      <c r="E45" s="24">
        <v>4000</v>
      </c>
      <c r="F45" s="24">
        <v>2.6</v>
      </c>
      <c r="G45" t="s">
        <v>118</v>
      </c>
      <c r="H45" t="s">
        <v>119</v>
      </c>
      <c r="I45" t="s">
        <v>120</v>
      </c>
    </row>
    <row r="46" spans="1:9">
      <c r="A46" s="27" t="s">
        <v>121</v>
      </c>
      <c r="B46" s="24">
        <v>500</v>
      </c>
      <c r="C46" s="24">
        <v>300</v>
      </c>
      <c r="D46" s="24">
        <f>=B46/E46</f>
        <v>0.5</v>
      </c>
      <c r="E46" s="24">
        <v>1000</v>
      </c>
      <c r="F46" s="24">
        <v>2.7</v>
      </c>
      <c r="G46" t="s">
        <v>122</v>
      </c>
      <c r="H46" t="s">
        <v>123</v>
      </c>
      <c r="I46" t="s">
        <v>120</v>
      </c>
    </row>
    <row r="47" spans="1:6">
      <c r="A47" s="24" t="s"/>
      <c r="B47" s="24" t="s"/>
      <c r="C47" s="24" t="s"/>
      <c r="D47" s="24" t="s"/>
      <c r="E47" s="24" t="s"/>
      <c r="F47" s="24" t="s"/>
    </row>
    <row r="48" spans="1:6">
      <c r="A48" s="24" t="s"/>
      <c r="B48" s="24" t="s"/>
      <c r="C48" s="24" t="s"/>
      <c r="D48" s="24" t="s"/>
      <c r="E48" s="24" t="s"/>
      <c r="F48" s="24" t="s"/>
    </row>
    <row r="49" spans="1:6">
      <c r="A49" s="24" t="s"/>
      <c r="B49" s="24" t="s"/>
      <c r="C49" s="24" t="s"/>
      <c r="D49" s="24" t="s"/>
      <c r="E49" s="24" t="s"/>
      <c r="F49" s="24" t="s"/>
    </row>
    <row r="50" spans="1:6">
      <c r="A50" s="24" t="s"/>
      <c r="B50" s="24" t="s"/>
      <c r="C50" s="24" t="s"/>
      <c r="D50" s="24" t="s"/>
      <c r="E50" s="24" t="s"/>
      <c r="F50" s="24" t="s"/>
    </row>
  </sheetData>
  <legacyDrawing r:id="rId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2026-08-17T17:32:33Z</dcterms:created>
  <dcterms:modified xsi:type="dcterms:W3CDTF">2026-08-17T17:32:33Z</dcterms:modified>
</cp:coreProperties>
</file>